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sez-moi" state="visible" r:id="rId4"/>
    <sheet sheetId="2" name="Hypotheses" state="visible" r:id="rId5"/>
    <sheet sheetId="3" name="Previsionnel_A1" state="visible" r:id="rId6"/>
    <sheet sheetId="4" name="PL_3ans" state="visible" r:id="rId7"/>
    <sheet sheetId="5" name="Scenarios" state="visible" r:id="rId8"/>
    <sheet sheetId="6" name="Unit_economics" state="visible" r:id="rId9"/>
    <sheet sheetId="7" name="Simulateur_ratio" state="visible" r:id="rId10"/>
  </sheets>
  <calcPr calcId="171027"/>
</workbook>
</file>

<file path=xl/sharedStrings.xml><?xml version="1.0" encoding="utf-8"?>
<sst xmlns="http://schemas.openxmlformats.org/spreadsheetml/2006/main" count="271" uniqueCount="249">
  <si>
    <t>PREVISIONNEL FINANCIER — Mycelium</t>
  </si>
  <si>
    <t>Operateur de la conformite EGalim en restauration collective</t>
  </si>
  <si>
    <t>Revision du 15 aout 2026 — modele a 5 lignes de revenu, exercice de septembre a aout</t>
  </si>
  <si>
    <t>CE QUI A CHANGE PAR RAPPORT A LA VERSION DE JUILLET</t>
  </si>
  <si>
    <t>Avant</t>
  </si>
  <si>
    <t>Une seule ligne de revenu : abonnement 600 €/mois par cantine, des le mois 4.</t>
  </si>
  <si>
    <t>Maintenant</t>
  </si>
  <si>
    <t>Cinq lignes : diagnostic one-shot, declaration assistee, abonnement Conformite, abonnement Operateur, commission d'apport.</t>
  </si>
  <si>
    <t>Pourquoi</t>
  </si>
  <si>
    <t>Un 'oui' a 690 € se decroche. Un 'oui' a 600 €/mois se merite. On entre par le diagnostic, qui ne fait courir aucun risque.</t>
  </si>
  <si>
    <t>Calendrier</t>
  </si>
  <si>
    <t>L'exercice va de SEPTEMBRE a AOUT. Le secteur est saisonnier : aout est mort, janvier-mars est le pic (teledeclaration).</t>
  </si>
  <si>
    <t>Logistique</t>
  </si>
  <si>
    <t>Sortie du cas de base. C'est l'etage 5, sous conditions, pas avant l'annee 3. Voir doc 08.</t>
  </si>
  <si>
    <t>COMMENT UTILISER CE CLASSEUR</t>
  </si>
  <si>
    <t>Cellules jaunes</t>
  </si>
  <si>
    <t>Les seules a modifier. Tout le reste se recalcule automatiquement.</t>
  </si>
  <si>
    <t>Onglet Hypotheses</t>
  </si>
  <si>
    <t>Tous les leviers : prix des 5 lignes de revenu, montee en charge, couts, cotisations, scenarios.</t>
  </si>
  <si>
    <t>Onglet Previsionnel_A1</t>
  </si>
  <si>
    <t>Annee 1 mois par mois (sept. 2026 -&gt; aout 2027). Ajuster les 4 lignes bleues de volume.</t>
  </si>
  <si>
    <t>Onglet PL_3ans</t>
  </si>
  <si>
    <t>Compte de resultat sur 3 ans, pilote par les hypotheses.</t>
  </si>
  <si>
    <t>Onglet Scenarios</t>
  </si>
  <si>
    <t>Comparaison prudent / base / ambitieux.</t>
  </si>
  <si>
    <t>Onglet Unit_economics</t>
  </si>
  <si>
    <t>Valeur par client selon l'etage, et regle de sortie de l'emploi.</t>
  </si>
  <si>
    <t>Onglet Simulateur_ratio</t>
  </si>
  <si>
    <t>OUTIL DE VENTE : simule le gain de points EGalim par famille de produits, chez un prospect.</t>
  </si>
  <si>
    <t>LES DEUX INDICATEURS QUI DECIDENT DE TOUT</t>
  </si>
  <si>
    <t>Taux de conversion diagnostic -&gt; abonnement</t>
  </si>
  <si>
    <t>A 45 % le modele est sain. A 20 % on vend des rapports au lieu de construire une entreprise.</t>
  </si>
  <si>
    <t>Pente du MRR (revenu recurrent)</t>
  </si>
  <si>
    <t>Un CA annuel porte par du one-shot est un echec deguise. La ligne 'abonnes' est le vrai signal.</t>
  </si>
  <si>
    <t>SOURCES DES CHIFFRES DE MARCHE</t>
  </si>
  <si>
    <t>•  Repas et CA secteur : Food Service Vision 2024.</t>
  </si>
  <si>
    <t>•  Conformite EGalim (15 % / 30 % / 21 %) : campagne ma cantine 2024 (donnees 2023).</t>
  </si>
  <si>
    <t>•  Part de bio : Agence Bio 2024.</t>
  </si>
  <si>
    <t>•  Prix, ramp et couts : hypotheses fondateur, a affiner avec les premiers deals.</t>
  </si>
  <si>
    <t>AVERTISSEMENT : toute projection de startup est incertaine. Ce modele sert a cadrer et a jouer des scenarios, pas a predire. Les points juridiques et fiscaux marques [A CONFIRMER] dans le doc 06 doivent l'etre avec un professionnel AVANT le contrat concerne.</t>
  </si>
  <si>
    <t>HYPOTHESES — leviers modifiables</t>
  </si>
  <si>
    <t>Modifiez uniquement les cellules jaunes. Tout se recalcule.</t>
  </si>
  <si>
    <t>REVENU — PRIX UNITAIRES (annee 1)</t>
  </si>
  <si>
    <t>Diagnostic EGalim — prix moyen (€)</t>
  </si>
  <si>
    <t>S 690 / M 1 190 / L 1 900</t>
  </si>
  <si>
    <t>Declaration assistee — prix moyen (€)</t>
  </si>
  <si>
    <t>Fenetre janvier -&gt; 31 mars</t>
  </si>
  <si>
    <t>Abonnement Conformite — prix moyen (€/mois)</t>
  </si>
  <si>
    <t>S 190 / M 290 / L 390</t>
  </si>
  <si>
    <t>Abonnement Operateur — prix moyen (€/mois)</t>
  </si>
  <si>
    <t>S 450 / M 650 / L 900 — inclut le Conformite</t>
  </si>
  <si>
    <t>Flux denrees intermedie par client Operateur (€/mois)</t>
  </si>
  <si>
    <t>Ne passe JAMAIS par nos livres</t>
  </si>
  <si>
    <t>Taux de commission d'apport (%)</t>
  </si>
  <si>
    <t>Payee par le producteur, pas par la cantine</t>
  </si>
  <si>
    <t>INDEXATION DES PRIX</t>
  </si>
  <si>
    <t>Indexation annee 2 (x)</t>
  </si>
  <si>
    <t>Appliquee a tous les prix</t>
  </si>
  <si>
    <t>Indexation annee 3 (x)</t>
  </si>
  <si>
    <t>MONTEE EN CHARGE — ANNEE 2 (sept. 2027 -&gt; aout 2028)</t>
  </si>
  <si>
    <t>Diagnostics vendus</t>
  </si>
  <si>
    <t>Declarations vendues</t>
  </si>
  <si>
    <t>Abonnes Conformite — moyenne sur l'annee</t>
  </si>
  <si>
    <t>Moteur du CA d'abonnement</t>
  </si>
  <si>
    <t>Abonnes Conformite — fin d'annee</t>
  </si>
  <si>
    <t>Indicatif</t>
  </si>
  <si>
    <t>Abonnes Operateur — moyenne sur l'annee</t>
  </si>
  <si>
    <t>Abonnes Operateur — fin d'annee</t>
  </si>
  <si>
    <t>Flux denrees par Operateur (€/mois)</t>
  </si>
  <si>
    <t>MONTEE EN CHARGE — ANNEE 3 (sept. 2028 -&gt; aout 2029)</t>
  </si>
  <si>
    <t>Cantines livrees via 3PL (etage 5)</t>
  </si>
  <si>
    <t>Sous conditions — voir doc 08</t>
  </si>
  <si>
    <t>Marge orchestration logistique (€/cantine/mois)</t>
  </si>
  <si>
    <t>Debloqueur, pas centre de profit</t>
  </si>
  <si>
    <t>COUTS — ANNEE 1 (micro-entreprise)</t>
  </si>
  <si>
    <t>Deplacements (€/an)</t>
  </si>
  <si>
    <t>Compta &amp; juridique (€/an)</t>
  </si>
  <si>
    <t>Consultations expert-comptable + avocat</t>
  </si>
  <si>
    <t>Assurance RC pro (€/an)</t>
  </si>
  <si>
    <t>DOIT couvrir explicitement le conseil/audit</t>
  </si>
  <si>
    <t>Logiciel, hebergement, API Claude (€/an)</t>
  </si>
  <si>
    <t>~0,50 a 2 € d'API par diagnostic</t>
  </si>
  <si>
    <t>Marketing &amp; impression (€/an)</t>
  </si>
  <si>
    <t>Divers &amp; outils (€/an)</t>
  </si>
  <si>
    <t>Taux cotisations micro BNC (%)</t>
  </si>
  <si>
    <t>A confirmer avec l'expert-comptable</t>
  </si>
  <si>
    <t>Reduction ACRE annee 1 (%)</t>
  </si>
  <si>
    <t>COUTS — ANNEE 2 (SASU)</t>
  </si>
  <si>
    <t>Remunerations chargees (€/an)</t>
  </si>
  <si>
    <t>Fondateur + 1 embauche a mi-annee</t>
  </si>
  <si>
    <t>Infrastructure &amp; logiciel (€/an)</t>
  </si>
  <si>
    <t>Marketing &amp; deplacements (€/an)</t>
  </si>
  <si>
    <t>Compta, juridique, assurances (€/an)</t>
  </si>
  <si>
    <t>Sous-traitance (€/an)</t>
  </si>
  <si>
    <t>Locaux &amp; divers (€/an)</t>
  </si>
  <si>
    <t>COUTS — ANNEE 3 (SASU)</t>
  </si>
  <si>
    <t>Equipe de 4 a 5</t>
  </si>
  <si>
    <t>Marketing, deplacements, commercial (€/an)</t>
  </si>
  <si>
    <t>SEUIL DE RENTABILITE &amp; SORTIE DE L'EMPLOI</t>
  </si>
  <si>
    <t>Revenu net mensuel vise (€/mois)</t>
  </si>
  <si>
    <t>Remplacer le salaire de serveur</t>
  </si>
  <si>
    <t>Facteur de securite avant de quitter le job (x)</t>
  </si>
  <si>
    <t>Absorbe un churn, un mois creux, un impaye</t>
  </si>
  <si>
    <t>SCENARIOS (facteur sur les volumes)</t>
  </si>
  <si>
    <t>Prudent</t>
  </si>
  <si>
    <t>Cycle plus long, conversion &lt; 30 %</t>
  </si>
  <si>
    <t>Base</t>
  </si>
  <si>
    <t>Le plan tel qu'ecrit</t>
  </si>
  <si>
    <t>Ambitieux</t>
  </si>
  <si>
    <t>Simulateur en ligne + un reseau multi-sites</t>
  </si>
  <si>
    <t>PREVISIONNEL ANNEE 1 — septembre 2026 -&gt; aout 2027 (mensuel)</t>
  </si>
  <si>
    <t>Ajustez les 4 lignes jaunes de volume. Aout et septembre sans vente : les cantines sont fermees, c'est le plan.</t>
  </si>
  <si>
    <t>Poste / Mois</t>
  </si>
  <si>
    <t>sept. 26</t>
  </si>
  <si>
    <t>oct. 26</t>
  </si>
  <si>
    <t>nov. 26</t>
  </si>
  <si>
    <t>dec. 26</t>
  </si>
  <si>
    <t>janv. 27</t>
  </si>
  <si>
    <t>fevr. 27</t>
  </si>
  <si>
    <t>mars 27</t>
  </si>
  <si>
    <t>avr. 27</t>
  </si>
  <si>
    <t>mai 27</t>
  </si>
  <si>
    <t>juin 27</t>
  </si>
  <si>
    <t>juil. 27</t>
  </si>
  <si>
    <t>aout 27</t>
  </si>
  <si>
    <t>Total A1</t>
  </si>
  <si>
    <t>Diagnostics vendus dans le mois</t>
  </si>
  <si>
    <t>Declarations assistees vendues</t>
  </si>
  <si>
    <t>Abonnes Conformite (fin de mois)</t>
  </si>
  <si>
    <t>Abonnes Operateur (fin de mois)</t>
  </si>
  <si>
    <t>CA diagnostics (€)</t>
  </si>
  <si>
    <t>CA declarations assistees (€)</t>
  </si>
  <si>
    <t>CA abonnements Conformite (€)</t>
  </si>
  <si>
    <t>CA abonnements Operateur (€)</t>
  </si>
  <si>
    <t>CA commissions d'apport (€)</t>
  </si>
  <si>
    <t>CA TOTAL (€)</t>
  </si>
  <si>
    <t>Couts fixes (€)</t>
  </si>
  <si>
    <t>Cotisations micro (€)</t>
  </si>
  <si>
    <t>Total charges (€)</t>
  </si>
  <si>
    <t>Resultat mensuel (€)</t>
  </si>
  <si>
    <t>Tresorerie cumulee (€)</t>
  </si>
  <si>
    <t>MRR en sortie (recurrent seul, aout 2027)</t>
  </si>
  <si>
    <t>C'est le vrai signal, pas le CA annuel. Voir Unit_economics.</t>
  </si>
  <si>
    <t>Part du one-shot dans le CA annuel</t>
  </si>
  <si>
    <t>Normal en A1 (finance le demarrage). Doit baisser en A2.</t>
  </si>
  <si>
    <t>COMPTE DE RESULTAT — 3 ANS</t>
  </si>
  <si>
    <t>Cas de base, pilote par l'onglet Hypotheses. Exercices de septembre a aout.</t>
  </si>
  <si>
    <t>Poste</t>
  </si>
  <si>
    <t>Annee 1</t>
  </si>
  <si>
    <t>Annee 2</t>
  </si>
  <si>
    <t>Annee 3</t>
  </si>
  <si>
    <t>Abonnes Conformite (fin d'annee)</t>
  </si>
  <si>
    <t>Abonnes Operateur (fin d'annee)</t>
  </si>
  <si>
    <t>CA diagnostics</t>
  </si>
  <si>
    <t>CA declarations assistees</t>
  </si>
  <si>
    <t>CA abonnements Conformite</t>
  </si>
  <si>
    <t>CA abonnements Operateur</t>
  </si>
  <si>
    <t>CA commissions d'apport</t>
  </si>
  <si>
    <t>CA orchestration logistique (etage 5)</t>
  </si>
  <si>
    <t>CHIFFRE D'AFFAIRES</t>
  </si>
  <si>
    <t>CHARGES</t>
  </si>
  <si>
    <t>Remunerations chargees</t>
  </si>
  <si>
    <t>Infrastructure &amp; logiciel</t>
  </si>
  <si>
    <t>Marketing &amp; deplacements</t>
  </si>
  <si>
    <t>Compta, juridique, assurances</t>
  </si>
  <si>
    <t>Sous-traitance</t>
  </si>
  <si>
    <t>Locaux &amp; divers</t>
  </si>
  <si>
    <t>Cotisations micro (avec ACRE)</t>
  </si>
  <si>
    <t>TOTAL CHARGES</t>
  </si>
  <si>
    <t>RESULTAT AVANT IMPOT</t>
  </si>
  <si>
    <t>Marge (%)</t>
  </si>
  <si>
    <t>Annee 1 : structure micro, le resultat est le revenu du fondateur. Annee 2 : bascule SASU + 1 embauche. Annee 3 : equipe de 4-5, resultat reinvesti dans l'expansion, pas sorti.</t>
  </si>
  <si>
    <t>SCENARIOS</t>
  </si>
  <si>
    <t>Bornes indicatives : le facteur agit sur les volumes (diagnostics et abonnes).</t>
  </si>
  <si>
    <t/>
  </si>
  <si>
    <t>Facteur volumes</t>
  </si>
  <si>
    <t>Diagnostics annee 1</t>
  </si>
  <si>
    <t>Abonnes Conformite fin A1</t>
  </si>
  <si>
    <t>Abonnes Operateur fin A1</t>
  </si>
  <si>
    <t>CA annee 1</t>
  </si>
  <si>
    <t>CA annee 3</t>
  </si>
  <si>
    <t>Le resultat ne se met pas a l'echelle lineairement (part de couts fixes). Ces bornes ne portent que sur le CA et les volumes.</t>
  </si>
  <si>
    <t>CE QUI FAIT BASCULER D'UN SCENARIO A L'AUTRE</t>
  </si>
  <si>
    <t>Cycle de vente plus long, conversion diagnostic -&gt; abonnement sous 30 %.</t>
  </si>
  <si>
    <t>Le plan tel qu'ecrit : 45 % de conversion, 14 diagnostics en A1.</t>
  </si>
  <si>
    <t>Le simulateur en ligne ramene du volume entrant, et un reseau (creches ou EHPAD en groupe) ouvre 5 sites d'un coup.</t>
  </si>
  <si>
    <t>ECONOMIE UNITAIRE &amp; SEUIL DE SORTIE DE L'EMPLOI</t>
  </si>
  <si>
    <t>VALEUR CLIENT SELON L'ETAGE ATTEINT</t>
  </si>
  <si>
    <t>Situation du client</t>
  </si>
  <si>
    <t>Revenu / an</t>
  </si>
  <si>
    <t>Temps humain / an</t>
  </si>
  <si>
    <t>Diagnostic seul (one-shot)</t>
  </si>
  <si>
    <t>~8 h — marge tres elevee</t>
  </si>
  <si>
    <t>Diagnostic + abonnement Conformite</t>
  </si>
  <si>
    <t>~20 h — marge elevee, scalable</t>
  </si>
  <si>
    <t>Abonnement Operateur (Conformite inclus) + commission</t>
  </si>
  <si>
    <t>~60 h (1 h/semaine) — le poste qui limite la croissance</t>
  </si>
  <si>
    <t>LE PLAFOND DU FONDATEUR SEUL</t>
  </si>
  <si>
    <t>Temps de coordination par client Operateur (h/semaine)</t>
  </si>
  <si>
    <t>Heures disponibles par semaine</t>
  </si>
  <si>
    <t>Part du temps consacree a la coordination (%)</t>
  </si>
  <si>
    <t>PLAFOND : clients Operateur gerables par le fondateur seul</t>
  </si>
  <si>
    <t>C'est ce plafond, pas la demande, qui dicte le rythme d'embauche et la roadmap produit.</t>
  </si>
  <si>
    <t>SEUIL DE RENTABILITE PERSONNEL</t>
  </si>
  <si>
    <t>Revenu net mensuel vise</t>
  </si>
  <si>
    <t>CA mensuel necessaire (apres cotisations)</t>
  </si>
  <si>
    <t>Charges fixes mensuelles</t>
  </si>
  <si>
    <t>SEUIL : CA mensuel total necessaire</t>
  </si>
  <si>
    <t>REGLE DE SORTIE DE L'EMPLOI DE SERVEUR</t>
  </si>
  <si>
    <t>MRR minimum avant de quitter le job (seuil x facteur de securite)</t>
  </si>
  <si>
    <t>MRR atteint en fin d'annee 1 (aout 2027)</t>
  </si>
  <si>
    <t>Abonnes Conformite necessaires (si aucun Operateur)</t>
  </si>
  <si>
    <t>Mix realiste : abonnes Conformite avec 3 Operateur</t>
  </si>
  <si>
    <t>REGLE : le MRR SEUL (hors diagnostics) doit couvrir ce montant pendant 3 mois consecutifs. Le facteur de securite absorbe un churn, un mois creux et un impaye. Quitter un emploi au mois exact du point mort, c'est se remettre sous pression de tresorerie au pire moment — et la pression de tresorerie est ce qui fait accepter les mauvais clients et les mauvaises marges.</t>
  </si>
  <si>
    <t>SIMULATEUR DE RATIO EGALIM — outil de rendez-vous</t>
  </si>
  <si>
    <t>A remplir avec les chiffres du prospect. Montre en 2 minutes que 50/20 est une operation arithmetique sur 20 % du budget, pas un objectif hors d'atteinte.</t>
  </si>
  <si>
    <t>LA CANTINE (a saisir)</t>
  </si>
  <si>
    <t>Couverts par jour</t>
  </si>
  <si>
    <t>Jours ouvres par mois</t>
  </si>
  <si>
    <t>Cout matiere par repas (€)</t>
  </si>
  <si>
    <t>Budget alimentaire annuel HT (€)</t>
  </si>
  <si>
    <t>Ratio durable actuel (%)</t>
  </si>
  <si>
    <t>Issu du diagnostic, ou estime</t>
  </si>
  <si>
    <t>Ratio bio actuel (%)</t>
  </si>
  <si>
    <t>LES LEVIERS (part du budget x part basculee)</t>
  </si>
  <si>
    <t>Famille</t>
  </si>
  <si>
    <t>% budget</t>
  </si>
  <si>
    <t>% bascule</t>
  </si>
  <si>
    <t>Montant</t>
  </si>
  <si>
    <t>Gain durable</t>
  </si>
  <si>
    <t>Gain bio / commentaire</t>
  </si>
  <si>
    <t>Epicerie seche -&gt; bio local</t>
  </si>
  <si>
    <t>PILOTE — zero froid, DLUO longue, souvent moins cher en direct</t>
  </si>
  <si>
    <t>Legumes bruts de saison -&gt; bio local</t>
  </si>
  <si>
    <t>PILOTE — pas de chaine du froid, tolere 24 h de retard</t>
  </si>
  <si>
    <t>Oeufs -&gt; bio</t>
  </si>
  <si>
    <t>Ajout semaine 3 — 28 j de DLC, temperature ambiante</t>
  </si>
  <si>
    <t>Produits laitiers -&gt; bio</t>
  </si>
  <si>
    <t>Etage 4 — chaine du froid 0-4 °C stricte</t>
  </si>
  <si>
    <t>Viande -&gt; Label Rouge</t>
  </si>
  <si>
    <t>Etage 4 mur — durable uniquement, pas bio. Surcout eleve</t>
  </si>
  <si>
    <t>Fruits de saison -&gt; bio local</t>
  </si>
  <si>
    <t>Apres le pilote</t>
  </si>
  <si>
    <t>TOTAL BASCULE</t>
  </si>
  <si>
    <t>RESULTAT</t>
  </si>
  <si>
    <t>Ratio DURABLE apres bascule</t>
  </si>
  <si>
    <t>Ratio BIO apres bascule</t>
  </si>
  <si>
    <t>MODE D'EMPLOI EN RENDEZ-VOUS : laisser les deux premieres lignes (epicerie seche + legumes bruts) a 100 % et tout le reste a 0 %. C'est le perimetre du pilote. Le seuil bio des 20 % est franchi avec DEUX familles, sans froid, sans camion, sans changer de grossiste principal. Puis montrer la suite du chemin en montant les laitiers a 50 % et la viande a 25 %.</t>
  </si>
  <si>
    <t>RAPPEL : le ratio se calcule en VALEUR d'achat, pas en volume. Le denominateur est la totalite des achats alimentaires, y compris ceux qu'on ne fournit pas — c'est pourquoi on ne garantit jamais la conformite : on la mesure et on la fait progresser (obligation de moyens).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</si>
</sst>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 &quot;€&quot;"/>
    <numFmt numFmtId="165" formatCode="0.0%"/>
    <numFmt numFmtId="166" formatCode="0.0"/>
    <numFmt numFmtId="167" formatCode="#,##0.00 &quot;€&quot;"/>
  </numFmts>
  <fonts count="12" x14ac:knownFonts="1">
    <font>
      <color theme="1"/>
      <family val="2"/>
      <scheme val="minor"/>
      <sz val="11"/>
      <name val="Calibri"/>
    </font>
    <font>
      <b/>
      <color rgb="FFFFFFFF"/>
      <sz val="13"/>
    </font>
    <font>
      <i/>
      <sz val="11"/>
    </font>
    <font>
      <b/>
      <color rgb="FFB45309"/>
      <sz val="10"/>
    </font>
    <font>
      <b/>
      <sz val="11"/>
    </font>
    <font>
      <b/>
    </font>
    <font>
      <i/>
      <sz val="9"/>
    </font>
    <font>
      <i/>
      <sz val="10"/>
    </font>
    <font>
      <b/>
      <color rgb="FF1F4E79"/>
    </font>
    <font>
      <i/>
      <color rgb="FF666666"/>
      <sz val="9"/>
    </font>
    <font>
      <b/>
      <sz val="12"/>
    </font>
    <font>
      <i/>
      <color rgb="FFB45309"/>
      <sz val="9"/>
    </font>
  </fonts>
  <fills count="6">
    <fill>
      <patternFill patternType="none"/>
    </fill>
    <fill>
      <patternFill patternType="gray125"/>
    </fill>
    <fill>
      <patternFill patternType="solid">
        <fgColor rgb="FF1F2937"/>
      </patternFill>
    </fill>
    <fill>
      <patternFill patternType="solid">
        <fgColor rgb="FFEDEDED"/>
      </patternFill>
    </fill>
    <fill>
      <patternFill patternType="solid">
        <fgColor rgb="FFFFF2CC"/>
      </patternFill>
    </fill>
    <fill>
      <patternFill patternType="solid">
        <fgColor rgb="FFE2F0D9"/>
      </patternFill>
    </fill>
  </fills>
  <borders count="2">
    <border>
      <left/>
      <right/>
      <top/>
      <bottom/>
      <diagonal/>
    </border>
    <border>
      <left style="thin"/>
      <right style="thin"/>
      <top style="thin"/>
      <bottom style="thin"/>
      <diagonal/>
    </border>
  </borders>
  <cellStyleXfs count="1">
    <xf numFmtId="0" fontId="0" fillId="0" borderId="0"/>
  </cellStyleXfs>
  <cellXfs count="35">
    <xf numFmtId="0" fontId="0" fillId="0" borderId="0" xfId="0"/>
    <xf numFmtId="0" fontId="1" fillId="2" borderId="0" xfId="0" applyFont="1" applyFill="1"/>
    <xf numFmtId="0" fontId="2" fillId="0" borderId="0" xfId="0" applyFont="1"/>
    <xf numFmtId="0" fontId="3" fillId="0" borderId="0" xfId="0" applyFont="1"/>
    <xf numFmtId="0" fontId="4" fillId="3" borderId="0" xfId="0" applyFont="1" applyFill="1"/>
    <xf numFmtId="0" fontId="5" fillId="0" borderId="0" xfId="0" applyFont="1"/>
    <xf numFmtId="0" fontId="0" fillId="0" borderId="0" xfId="0" applyAlignment="1">
      <alignment wrapText="1"/>
    </xf>
    <xf numFmtId="0" fontId="6" fillId="0" borderId="0" xfId="0" applyFont="1" applyAlignment="1">
      <alignment wrapText="1"/>
    </xf>
    <xf numFmtId="0" fontId="7" fillId="0" borderId="0" xfId="0" applyFont="1"/>
    <xf numFmtId="164" fontId="8" fillId="4" borderId="1" xfId="0" applyNumberFormat="1" applyFont="1" applyFill="1" applyBorder="1"/>
    <xf numFmtId="0" fontId="9" fillId="0" borderId="0" xfId="0" applyFont="1"/>
    <xf numFmtId="165" fontId="8" fillId="4" borderId="1" xfId="0" applyNumberFormat="1" applyFont="1" applyFill="1" applyBorder="1"/>
    <xf numFmtId="2" fontId="8" fillId="4" borderId="1" xfId="0" applyNumberFormat="1" applyFont="1" applyFill="1" applyBorder="1"/>
    <xf numFmtId="1" fontId="8" fillId="4" borderId="1" xfId="0" applyNumberFormat="1" applyFont="1" applyFill="1" applyBorder="1"/>
    <xf numFmtId="166" fontId="8" fillId="4" borderId="1" xfId="0" applyNumberFormat="1" applyFont="1" applyFill="1" applyBorder="1"/>
    <xf numFmtId="0" fontId="5" fillId="3" borderId="0" xfId="0" applyFont="1" applyFill="1"/>
    <xf numFmtId="0" fontId="8" fillId="4" borderId="0" xfId="0" applyFont="1" applyFill="1" applyAlignment="1">
      <alignment horizontal="center"/>
    </xf>
    <xf numFmtId="164" fontId="0" fillId="0" borderId="0" xfId="0" applyNumberFormat="1"/>
    <xf numFmtId="164" fontId="5" fillId="0" borderId="0" xfId="0" applyNumberFormat="1" applyFont="1"/>
    <xf numFmtId="0" fontId="0" fillId="5" borderId="0" xfId="0" applyFill="1"/>
    <xf numFmtId="0" fontId="5" fillId="5" borderId="0" xfId="0" applyFont="1" applyFill="1"/>
    <xf numFmtId="164" fontId="5" fillId="5" borderId="0" xfId="0" applyNumberFormat="1" applyFont="1" applyFill="1"/>
    <xf numFmtId="164" fontId="10" fillId="5" borderId="0" xfId="0" applyNumberFormat="1" applyFont="1" applyFill="1"/>
    <xf numFmtId="165" fontId="5" fillId="0" borderId="0" xfId="0" applyNumberFormat="1" applyFont="1"/>
    <xf numFmtId="1" fontId="0" fillId="0" borderId="0" xfId="0" applyNumberFormat="1"/>
    <xf numFmtId="0" fontId="10" fillId="5" borderId="0" xfId="0" applyFont="1" applyFill="1"/>
    <xf numFmtId="165" fontId="0" fillId="0" borderId="0" xfId="0" applyNumberFormat="1"/>
    <xf numFmtId="2" fontId="0" fillId="0" borderId="0" xfId="0" applyNumberFormat="1"/>
    <xf numFmtId="0" fontId="8" fillId="4" borderId="0" xfId="0" applyFont="1" applyFill="1"/>
    <xf numFmtId="165" fontId="8" fillId="4" borderId="0" xfId="0" applyNumberFormat="1" applyFont="1" applyFill="1"/>
    <xf numFmtId="0" fontId="9" fillId="0" borderId="0" xfId="0" applyFont="1" applyAlignment="1">
      <alignment wrapText="1"/>
    </xf>
    <xf numFmtId="167" fontId="8" fillId="4" borderId="1" xfId="0" applyNumberFormat="1" applyFont="1" applyFill="1" applyBorder="1"/>
    <xf numFmtId="165" fontId="10" fillId="0" borderId="0" xfId="0" applyNumberFormat="1" applyFont="1"/>
    <xf numFmtId="0" fontId="7" fillId="0" borderId="0" xfId="0" applyFont="1" applyAlignment="1">
      <alignment wrapText="1"/>
    </xf>
    <xf numFmtId="0" fontId="1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FormatPr defaultRowHeight="15" outlineLevelRow="0" outlineLevelCol="0" x14ac:dyDescent="55"/>
  <cols>
    <col min="1" max="1" width="46" customWidth="1"/>
    <col min="2" max="2" width="62" customWidth="1"/>
    <col min="3" max="3" width="30" customWidth="1"/>
  </cols>
  <sheetData>
    <row r="1" ht="22" customHeight="1" spans="1:3" x14ac:dyDescent="0.25">
      <c r="A1" s="1" t="s">
        <v>0</v>
      </c>
      <c r="B1" s="1"/>
      <c r="C1" s="1"/>
    </row>
    <row r="2" spans="1:3" x14ac:dyDescent="0.25">
      <c r="A2" s="2" t="s">
        <v>1</v>
      </c>
      <c r="B2" s="2"/>
      <c r="C2" s="2"/>
    </row>
    <row r="3" spans="1:3" x14ac:dyDescent="0.25">
      <c r="A3" s="3" t="s">
        <v>2</v>
      </c>
      <c r="B3" s="3"/>
      <c r="C3" s="3"/>
    </row>
    <row r="5" spans="1:3" x14ac:dyDescent="0.25">
      <c r="A5" s="4" t="s">
        <v>3</v>
      </c>
      <c r="B5" s="4"/>
      <c r="C5" s="4"/>
    </row>
    <row r="6" spans="1:3" x14ac:dyDescent="0.25">
      <c r="A6" s="5" t="s">
        <v>4</v>
      </c>
      <c r="B6" s="6" t="s">
        <v>5</v>
      </c>
      <c r="C6" s="6"/>
    </row>
    <row r="7" spans="1:3" x14ac:dyDescent="0.25">
      <c r="A7" s="5" t="s">
        <v>6</v>
      </c>
      <c r="B7" s="6" t="s">
        <v>7</v>
      </c>
      <c r="C7" s="6"/>
    </row>
    <row r="8" spans="1:3" x14ac:dyDescent="0.25">
      <c r="A8" s="5" t="s">
        <v>8</v>
      </c>
      <c r="B8" s="6" t="s">
        <v>9</v>
      </c>
      <c r="C8" s="6"/>
    </row>
    <row r="9" spans="1:3" x14ac:dyDescent="0.25">
      <c r="A9" s="5" t="s">
        <v>10</v>
      </c>
      <c r="B9" s="6" t="s">
        <v>11</v>
      </c>
      <c r="C9" s="6"/>
    </row>
    <row r="10" spans="1:3" x14ac:dyDescent="0.25">
      <c r="A10" s="5" t="s">
        <v>12</v>
      </c>
      <c r="B10" s="6" t="s">
        <v>13</v>
      </c>
      <c r="C10" s="6"/>
    </row>
    <row r="12" spans="1:3" x14ac:dyDescent="0.25">
      <c r="A12" s="4" t="s">
        <v>14</v>
      </c>
      <c r="B12" s="4"/>
      <c r="C12" s="4"/>
    </row>
    <row r="13" spans="1:3" x14ac:dyDescent="0.25">
      <c r="A13" s="5" t="s">
        <v>15</v>
      </c>
      <c r="B13" s="6" t="s">
        <v>16</v>
      </c>
      <c r="C13" s="6"/>
    </row>
    <row r="14" spans="1:3" x14ac:dyDescent="0.25">
      <c r="A14" s="5" t="s">
        <v>17</v>
      </c>
      <c r="B14" s="6" t="s">
        <v>18</v>
      </c>
      <c r="C14" s="6"/>
    </row>
    <row r="15" spans="1:3" x14ac:dyDescent="0.25">
      <c r="A15" s="5" t="s">
        <v>19</v>
      </c>
      <c r="B15" s="6" t="s">
        <v>20</v>
      </c>
      <c r="C15" s="6"/>
    </row>
    <row r="16" spans="1:3" x14ac:dyDescent="0.25">
      <c r="A16" s="5" t="s">
        <v>21</v>
      </c>
      <c r="B16" s="6" t="s">
        <v>22</v>
      </c>
      <c r="C16" s="6"/>
    </row>
    <row r="17" spans="1:3" x14ac:dyDescent="0.25">
      <c r="A17" s="5" t="s">
        <v>23</v>
      </c>
      <c r="B17" s="6" t="s">
        <v>24</v>
      </c>
      <c r="C17" s="6"/>
    </row>
    <row r="18" spans="1:3" x14ac:dyDescent="0.25">
      <c r="A18" s="5" t="s">
        <v>25</v>
      </c>
      <c r="B18" s="6" t="s">
        <v>26</v>
      </c>
      <c r="C18" s="6"/>
    </row>
    <row r="19" spans="1:3" x14ac:dyDescent="0.25">
      <c r="A19" s="5" t="s">
        <v>27</v>
      </c>
      <c r="B19" s="6" t="s">
        <v>28</v>
      </c>
      <c r="C19" s="6"/>
    </row>
    <row r="21" spans="1:3" x14ac:dyDescent="0.25">
      <c r="A21" s="4" t="s">
        <v>29</v>
      </c>
      <c r="B21" s="4"/>
      <c r="C21" s="4"/>
    </row>
    <row r="22" spans="1:3" x14ac:dyDescent="0.25">
      <c r="A22" s="5" t="s">
        <v>30</v>
      </c>
      <c r="B22" t="s">
        <v>31</v>
      </c>
      <c r="C22"/>
    </row>
    <row r="23" spans="1:3" x14ac:dyDescent="0.25">
      <c r="A23" s="5" t="s">
        <v>32</v>
      </c>
      <c r="B23" t="s">
        <v>33</v>
      </c>
      <c r="C23"/>
    </row>
    <row r="25" spans="1:3" x14ac:dyDescent="0.25">
      <c r="A25" s="4" t="s">
        <v>34</v>
      </c>
      <c r="B25" s="4"/>
      <c r="C25" s="4"/>
    </row>
    <row r="26" spans="1:3" x14ac:dyDescent="0.25">
      <c r="A26" t="s">
        <v>35</v>
      </c>
      <c r="B26"/>
      <c r="C26"/>
    </row>
    <row r="27" spans="1:3" x14ac:dyDescent="0.25">
      <c r="A27" t="s">
        <v>36</v>
      </c>
      <c r="B27"/>
      <c r="C27"/>
    </row>
    <row r="28" spans="1:3" x14ac:dyDescent="0.25">
      <c r="A28" t="s">
        <v>37</v>
      </c>
      <c r="B28"/>
      <c r="C28"/>
    </row>
    <row r="29" spans="1:3" x14ac:dyDescent="0.25">
      <c r="A29" t="s">
        <v>38</v>
      </c>
      <c r="B29"/>
      <c r="C29"/>
    </row>
    <row r="31" ht="44" customHeight="1" spans="1:3" x14ac:dyDescent="0.25">
      <c r="A31" s="7" t="s">
        <v>39</v>
      </c>
      <c r="B31" s="7"/>
      <c r="C31" s="7"/>
    </row>
  </sheetData>
  <mergeCells count="26">
    <mergeCell ref="A1:C1"/>
    <mergeCell ref="A2:C2"/>
    <mergeCell ref="A3:C3"/>
    <mergeCell ref="A5:C5"/>
    <mergeCell ref="B6:C6"/>
    <mergeCell ref="B7:C7"/>
    <mergeCell ref="B8:C8"/>
    <mergeCell ref="B9:C9"/>
    <mergeCell ref="B10:C10"/>
    <mergeCell ref="A12:C12"/>
    <mergeCell ref="B13:C13"/>
    <mergeCell ref="B14:C14"/>
    <mergeCell ref="B15:C15"/>
    <mergeCell ref="B16:C16"/>
    <mergeCell ref="B17:C17"/>
    <mergeCell ref="B18:C18"/>
    <mergeCell ref="B19:C19"/>
    <mergeCell ref="A21:C21"/>
    <mergeCell ref="B22:C22"/>
    <mergeCell ref="B23:C23"/>
    <mergeCell ref="A25:C25"/>
    <mergeCell ref="A26:C26"/>
    <mergeCell ref="A27:C27"/>
    <mergeCell ref="A28:C28"/>
    <mergeCell ref="A29:C29"/>
    <mergeCell ref="A31:C3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9"/>
  <sheetFormatPr defaultRowHeight="15" outlineLevelRow="0" outlineLevelCol="0" x14ac:dyDescent="55"/>
  <cols>
    <col min="1" max="1" width="52" customWidth="1"/>
    <col min="2" max="2" width="14" customWidth="1"/>
    <col min="3" max="3" width="48" customWidth="1"/>
  </cols>
  <sheetData>
    <row r="1" ht="22" customHeight="1" spans="1:3" x14ac:dyDescent="0.25">
      <c r="A1" s="1" t="s">
        <v>40</v>
      </c>
      <c r="B1" s="1"/>
      <c r="C1" s="1"/>
    </row>
    <row r="2" spans="1:3" x14ac:dyDescent="0.25">
      <c r="A2" s="8" t="s">
        <v>41</v>
      </c>
      <c r="B2" s="8"/>
      <c r="C2" s="8"/>
    </row>
    <row r="4" spans="1:3" x14ac:dyDescent="0.25">
      <c r="A4" s="4" t="s">
        <v>42</v>
      </c>
      <c r="B4" s="4"/>
      <c r="C4" s="4"/>
    </row>
    <row r="5" spans="1:3" x14ac:dyDescent="0.25">
      <c r="A5" t="s">
        <v>43</v>
      </c>
      <c r="B5" s="9">
        <v>950</v>
      </c>
      <c r="C5" s="10" t="s">
        <v>44</v>
      </c>
    </row>
    <row r="6" spans="1:3" x14ac:dyDescent="0.25">
      <c r="A6" t="s">
        <v>45</v>
      </c>
      <c r="B6" s="9">
        <v>450</v>
      </c>
      <c r="C6" s="10" t="s">
        <v>46</v>
      </c>
    </row>
    <row r="7" spans="1:3" x14ac:dyDescent="0.25">
      <c r="A7" t="s">
        <v>47</v>
      </c>
      <c r="B7" s="9">
        <v>290</v>
      </c>
      <c r="C7" s="10" t="s">
        <v>48</v>
      </c>
    </row>
    <row r="8" spans="1:3" x14ac:dyDescent="0.25">
      <c r="A8" t="s">
        <v>49</v>
      </c>
      <c r="B8" s="9">
        <v>650</v>
      </c>
      <c r="C8" s="10" t="s">
        <v>50</v>
      </c>
    </row>
    <row r="9" spans="1:3" x14ac:dyDescent="0.25">
      <c r="A9" t="s">
        <v>51</v>
      </c>
      <c r="B9" s="9">
        <v>2500</v>
      </c>
      <c r="C9" s="10" t="s">
        <v>52</v>
      </c>
    </row>
    <row r="10" spans="1:3" x14ac:dyDescent="0.25">
      <c r="A10" t="s">
        <v>53</v>
      </c>
      <c r="B10" s="11">
        <v>0.06</v>
      </c>
      <c r="C10" s="10" t="s">
        <v>54</v>
      </c>
    </row>
    <row r="12" spans="1:3" x14ac:dyDescent="0.25">
      <c r="A12" s="4" t="s">
        <v>55</v>
      </c>
      <c r="B12" s="4"/>
      <c r="C12" s="4"/>
    </row>
    <row r="13" spans="1:3" x14ac:dyDescent="0.25">
      <c r="A13" t="s">
        <v>56</v>
      </c>
      <c r="B13" s="12">
        <v>1.03</v>
      </c>
      <c r="C13" s="10" t="s">
        <v>57</v>
      </c>
    </row>
    <row r="14" spans="1:2" x14ac:dyDescent="0.25">
      <c r="A14" t="s">
        <v>58</v>
      </c>
      <c r="B14" s="12">
        <v>1.06</v>
      </c>
    </row>
    <row r="16" spans="1:3" x14ac:dyDescent="0.25">
      <c r="A16" s="4" t="s">
        <v>59</v>
      </c>
      <c r="B16" s="4"/>
      <c r="C16" s="4"/>
    </row>
    <row r="17" spans="1:2" x14ac:dyDescent="0.25">
      <c r="A17" t="s">
        <v>60</v>
      </c>
      <c r="B17" s="13">
        <v>35</v>
      </c>
    </row>
    <row r="18" spans="1:2" x14ac:dyDescent="0.25">
      <c r="A18" t="s">
        <v>61</v>
      </c>
      <c r="B18" s="13">
        <v>20</v>
      </c>
    </row>
    <row r="19" spans="1:3" x14ac:dyDescent="0.25">
      <c r="A19" t="s">
        <v>62</v>
      </c>
      <c r="B19" s="13">
        <v>16</v>
      </c>
      <c r="C19" s="10" t="s">
        <v>63</v>
      </c>
    </row>
    <row r="20" spans="1:3" x14ac:dyDescent="0.25">
      <c r="A20" t="s">
        <v>64</v>
      </c>
      <c r="B20" s="13">
        <v>24</v>
      </c>
      <c r="C20" s="10" t="s">
        <v>65</v>
      </c>
    </row>
    <row r="21" spans="1:2" x14ac:dyDescent="0.25">
      <c r="A21" t="s">
        <v>66</v>
      </c>
      <c r="B21" s="13">
        <v>9</v>
      </c>
    </row>
    <row r="22" spans="1:3" x14ac:dyDescent="0.25">
      <c r="A22" t="s">
        <v>67</v>
      </c>
      <c r="B22" s="13">
        <v>14</v>
      </c>
      <c r="C22" s="10" t="s">
        <v>65</v>
      </c>
    </row>
    <row r="23" spans="1:2" x14ac:dyDescent="0.25">
      <c r="A23" t="s">
        <v>68</v>
      </c>
      <c r="B23" s="9">
        <v>3000</v>
      </c>
    </row>
    <row r="25" spans="1:3" x14ac:dyDescent="0.25">
      <c r="A25" s="4" t="s">
        <v>69</v>
      </c>
      <c r="B25" s="4"/>
      <c r="C25" s="4"/>
    </row>
    <row r="26" spans="1:2" x14ac:dyDescent="0.25">
      <c r="A26" t="s">
        <v>60</v>
      </c>
      <c r="B26" s="13">
        <v>70</v>
      </c>
    </row>
    <row r="27" spans="1:2" x14ac:dyDescent="0.25">
      <c r="A27" t="s">
        <v>61</v>
      </c>
      <c r="B27" s="13">
        <v>45</v>
      </c>
    </row>
    <row r="28" spans="1:2" x14ac:dyDescent="0.25">
      <c r="A28" t="s">
        <v>62</v>
      </c>
      <c r="B28" s="13">
        <v>42</v>
      </c>
    </row>
    <row r="29" spans="1:3" x14ac:dyDescent="0.25">
      <c r="A29" t="s">
        <v>64</v>
      </c>
      <c r="B29" s="13">
        <v>60</v>
      </c>
      <c r="C29" s="10" t="s">
        <v>65</v>
      </c>
    </row>
    <row r="30" spans="1:2" x14ac:dyDescent="0.25">
      <c r="A30" t="s">
        <v>66</v>
      </c>
      <c r="B30" s="13">
        <v>27</v>
      </c>
    </row>
    <row r="31" spans="1:3" x14ac:dyDescent="0.25">
      <c r="A31" t="s">
        <v>67</v>
      </c>
      <c r="B31" s="13">
        <v>40</v>
      </c>
      <c r="C31" s="10" t="s">
        <v>65</v>
      </c>
    </row>
    <row r="32" spans="1:2" x14ac:dyDescent="0.25">
      <c r="A32" t="s">
        <v>68</v>
      </c>
      <c r="B32" s="9">
        <v>3200</v>
      </c>
    </row>
    <row r="33" spans="1:3" x14ac:dyDescent="0.25">
      <c r="A33" t="s">
        <v>70</v>
      </c>
      <c r="B33" s="13">
        <v>12</v>
      </c>
      <c r="C33" s="10" t="s">
        <v>71</v>
      </c>
    </row>
    <row r="34" spans="1:3" x14ac:dyDescent="0.25">
      <c r="A34" t="s">
        <v>72</v>
      </c>
      <c r="B34" s="9">
        <v>60</v>
      </c>
      <c r="C34" s="10" t="s">
        <v>73</v>
      </c>
    </row>
    <row r="36" spans="1:3" x14ac:dyDescent="0.25">
      <c r="A36" s="4" t="s">
        <v>74</v>
      </c>
      <c r="B36" s="4"/>
      <c r="C36" s="4"/>
    </row>
    <row r="37" spans="1:2" x14ac:dyDescent="0.25">
      <c r="A37" t="s">
        <v>75</v>
      </c>
      <c r="B37" s="9">
        <v>1200</v>
      </c>
    </row>
    <row r="38" spans="1:3" x14ac:dyDescent="0.25">
      <c r="A38" t="s">
        <v>76</v>
      </c>
      <c r="B38" s="9">
        <v>1400</v>
      </c>
      <c r="C38" s="10" t="s">
        <v>77</v>
      </c>
    </row>
    <row r="39" spans="1:3" x14ac:dyDescent="0.25">
      <c r="A39" t="s">
        <v>78</v>
      </c>
      <c r="B39" s="9">
        <v>480</v>
      </c>
      <c r="C39" s="10" t="s">
        <v>79</v>
      </c>
    </row>
    <row r="40" spans="1:3" x14ac:dyDescent="0.25">
      <c r="A40" t="s">
        <v>80</v>
      </c>
      <c r="B40" s="9">
        <v>720</v>
      </c>
      <c r="C40" s="10" t="s">
        <v>81</v>
      </c>
    </row>
    <row r="41" spans="1:2" x14ac:dyDescent="0.25">
      <c r="A41" t="s">
        <v>82</v>
      </c>
      <c r="B41" s="9">
        <v>600</v>
      </c>
    </row>
    <row r="42" spans="1:2" x14ac:dyDescent="0.25">
      <c r="A42" t="s">
        <v>83</v>
      </c>
      <c r="B42" s="9">
        <v>480</v>
      </c>
    </row>
    <row r="43" spans="1:3" x14ac:dyDescent="0.25">
      <c r="A43" t="s">
        <v>84</v>
      </c>
      <c r="B43" s="11">
        <v>0.212</v>
      </c>
      <c r="C43" s="10" t="s">
        <v>85</v>
      </c>
    </row>
    <row r="44" spans="1:2" x14ac:dyDescent="0.25">
      <c r="A44" t="s">
        <v>86</v>
      </c>
      <c r="B44" s="11">
        <v>0.5</v>
      </c>
    </row>
    <row r="46" spans="1:3" x14ac:dyDescent="0.25">
      <c r="A46" s="4" t="s">
        <v>87</v>
      </c>
      <c r="B46" s="4"/>
      <c r="C46" s="4"/>
    </row>
    <row r="47" spans="1:3" x14ac:dyDescent="0.25">
      <c r="A47" t="s">
        <v>88</v>
      </c>
      <c r="B47" s="9">
        <v>71000</v>
      </c>
      <c r="C47" s="10" t="s">
        <v>89</v>
      </c>
    </row>
    <row r="48" spans="1:2" x14ac:dyDescent="0.25">
      <c r="A48" t="s">
        <v>90</v>
      </c>
      <c r="B48" s="9">
        <v>7200</v>
      </c>
    </row>
    <row r="49" spans="1:2" x14ac:dyDescent="0.25">
      <c r="A49" t="s">
        <v>91</v>
      </c>
      <c r="B49" s="9">
        <v>11000</v>
      </c>
    </row>
    <row r="50" spans="1:2" x14ac:dyDescent="0.25">
      <c r="A50" t="s">
        <v>92</v>
      </c>
      <c r="B50" s="9">
        <v>9500</v>
      </c>
    </row>
    <row r="51" spans="1:2" x14ac:dyDescent="0.25">
      <c r="A51" t="s">
        <v>93</v>
      </c>
      <c r="B51" s="9">
        <v>6000</v>
      </c>
    </row>
    <row r="52" spans="1:2" x14ac:dyDescent="0.25">
      <c r="A52" t="s">
        <v>94</v>
      </c>
      <c r="B52" s="9">
        <v>3000</v>
      </c>
    </row>
    <row r="54" spans="1:3" x14ac:dyDescent="0.25">
      <c r="A54" s="4" t="s">
        <v>95</v>
      </c>
      <c r="B54" s="4"/>
      <c r="C54" s="4"/>
    </row>
    <row r="55" spans="1:3" x14ac:dyDescent="0.25">
      <c r="A55" t="s">
        <v>88</v>
      </c>
      <c r="B55" s="9">
        <v>205000</v>
      </c>
      <c r="C55" s="10" t="s">
        <v>96</v>
      </c>
    </row>
    <row r="56" spans="1:2" x14ac:dyDescent="0.25">
      <c r="A56" t="s">
        <v>90</v>
      </c>
      <c r="B56" s="9">
        <v>18000</v>
      </c>
    </row>
    <row r="57" spans="1:2" x14ac:dyDescent="0.25">
      <c r="A57" t="s">
        <v>97</v>
      </c>
      <c r="B57" s="9">
        <v>35000</v>
      </c>
    </row>
    <row r="58" spans="1:2" x14ac:dyDescent="0.25">
      <c r="A58" t="s">
        <v>92</v>
      </c>
      <c r="B58" s="9">
        <v>22000</v>
      </c>
    </row>
    <row r="59" spans="1:2" x14ac:dyDescent="0.25">
      <c r="A59" t="s">
        <v>93</v>
      </c>
      <c r="B59" s="9">
        <v>15000</v>
      </c>
    </row>
    <row r="60" spans="1:2" x14ac:dyDescent="0.25">
      <c r="A60" t="s">
        <v>94</v>
      </c>
      <c r="B60" s="9">
        <v>12000</v>
      </c>
    </row>
    <row r="62" spans="1:3" x14ac:dyDescent="0.25">
      <c r="A62" s="4" t="s">
        <v>98</v>
      </c>
      <c r="B62" s="4"/>
      <c r="C62" s="4"/>
    </row>
    <row r="63" spans="1:3" x14ac:dyDescent="0.25">
      <c r="A63" t="s">
        <v>99</v>
      </c>
      <c r="B63" s="9">
        <v>2200</v>
      </c>
      <c r="C63" s="10" t="s">
        <v>100</v>
      </c>
    </row>
    <row r="64" spans="1:3" x14ac:dyDescent="0.25">
      <c r="A64" t="s">
        <v>101</v>
      </c>
      <c r="B64" s="14">
        <v>1.5</v>
      </c>
      <c r="C64" s="10" t="s">
        <v>102</v>
      </c>
    </row>
    <row r="66" spans="1:3" x14ac:dyDescent="0.25">
      <c r="A66" s="4" t="s">
        <v>103</v>
      </c>
      <c r="B66" s="4"/>
      <c r="C66" s="4"/>
    </row>
    <row r="67" spans="1:3" x14ac:dyDescent="0.25">
      <c r="A67" t="s">
        <v>104</v>
      </c>
      <c r="B67" s="12">
        <v>0.55</v>
      </c>
      <c r="C67" s="10" t="s">
        <v>105</v>
      </c>
    </row>
    <row r="68" spans="1:3" x14ac:dyDescent="0.25">
      <c r="A68" t="s">
        <v>106</v>
      </c>
      <c r="B68" s="12">
        <v>1</v>
      </c>
      <c r="C68" s="10" t="s">
        <v>107</v>
      </c>
    </row>
    <row r="69" spans="1:3" x14ac:dyDescent="0.25">
      <c r="A69" t="s">
        <v>108</v>
      </c>
      <c r="B69" s="12">
        <v>1.65</v>
      </c>
      <c r="C69" s="10" t="s">
        <v>109</v>
      </c>
    </row>
  </sheetData>
  <mergeCells count="11">
    <mergeCell ref="A1:C1"/>
    <mergeCell ref="A2:C2"/>
    <mergeCell ref="A4:C4"/>
    <mergeCell ref="A12:C12"/>
    <mergeCell ref="A16:C16"/>
    <mergeCell ref="A25:C25"/>
    <mergeCell ref="A36:C36"/>
    <mergeCell ref="A46:C46"/>
    <mergeCell ref="A54:C54"/>
    <mergeCell ref="A62:C62"/>
    <mergeCell ref="A66:C6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FormatPr defaultRowHeight="15" outlineLevelRow="0" outlineLevelCol="0" x14ac:dyDescent="55"/>
  <cols>
    <col min="1" max="1" width="40" customWidth="1"/>
    <col min="2" max="13" width="11" customWidth="1"/>
    <col min="14" max="14" width="14" customWidth="1"/>
  </cols>
  <sheetData>
    <row r="1" ht="22" customHeight="1" spans="1:14" x14ac:dyDescent="0.25">
      <c r="A1" s="1" t="s">
        <v>110</v>
      </c>
      <c r="B1" s="1"/>
      <c r="C1" s="1"/>
      <c r="D1" s="1"/>
      <c r="E1" s="1"/>
      <c r="F1" s="1"/>
      <c r="G1" s="1"/>
      <c r="H1" s="1"/>
      <c r="I1" s="1"/>
      <c r="J1" s="1"/>
      <c r="K1" s="1"/>
      <c r="L1" s="1"/>
      <c r="M1" s="1"/>
      <c r="N1" s="1"/>
    </row>
    <row r="2" spans="1:14" x14ac:dyDescent="0.25">
      <c r="A2" s="8" t="s">
        <v>111</v>
      </c>
      <c r="B2" s="8"/>
      <c r="C2" s="8"/>
      <c r="D2" s="8"/>
      <c r="E2" s="8"/>
      <c r="F2" s="8"/>
      <c r="G2" s="8"/>
      <c r="H2" s="8"/>
      <c r="I2" s="8"/>
      <c r="J2" s="8"/>
      <c r="K2" s="8"/>
      <c r="L2" s="8"/>
      <c r="M2" s="8"/>
      <c r="N2" s="8"/>
    </row>
    <row r="4" spans="1:14" s="15" customFormat="1" x14ac:dyDescent="0.25">
      <c r="A4" s="15" t="s">
        <v>112</v>
      </c>
      <c r="B4" s="15" t="s">
        <v>113</v>
      </c>
      <c r="C4" s="15" t="s">
        <v>114</v>
      </c>
      <c r="D4" s="15" t="s">
        <v>115</v>
      </c>
      <c r="E4" s="15" t="s">
        <v>116</v>
      </c>
      <c r="F4" s="15" t="s">
        <v>117</v>
      </c>
      <c r="G4" s="15" t="s">
        <v>118</v>
      </c>
      <c r="H4" s="15" t="s">
        <v>119</v>
      </c>
      <c r="I4" s="15" t="s">
        <v>120</v>
      </c>
      <c r="J4" s="15" t="s">
        <v>121</v>
      </c>
      <c r="K4" s="15" t="s">
        <v>122</v>
      </c>
      <c r="L4" s="15" t="s">
        <v>123</v>
      </c>
      <c r="M4" s="15" t="s">
        <v>124</v>
      </c>
      <c r="N4" s="15" t="s">
        <v>125</v>
      </c>
    </row>
    <row r="5" spans="1:14" x14ac:dyDescent="0.25">
      <c r="A5" s="5" t="s">
        <v>126</v>
      </c>
      <c r="B5" s="16">
        <v>0</v>
      </c>
      <c r="C5" s="16">
        <v>2</v>
      </c>
      <c r="D5" s="16">
        <v>1</v>
      </c>
      <c r="E5" s="16">
        <v>1</v>
      </c>
      <c r="F5" s="16">
        <v>2</v>
      </c>
      <c r="G5" s="16">
        <v>3</v>
      </c>
      <c r="H5" s="16">
        <v>3</v>
      </c>
      <c r="I5" s="16">
        <v>1</v>
      </c>
      <c r="J5" s="16">
        <v>1</v>
      </c>
      <c r="K5" s="16">
        <v>0</v>
      </c>
      <c r="L5" s="16">
        <v>0</v>
      </c>
      <c r="M5" s="16">
        <v>0</v>
      </c>
      <c r="N5" s="5">
        <f>SUM(B5:M5)</f>
      </c>
    </row>
    <row r="6" spans="1:14" x14ac:dyDescent="0.25">
      <c r="A6" s="5" t="s">
        <v>127</v>
      </c>
      <c r="B6" s="16">
        <v>0</v>
      </c>
      <c r="C6" s="16">
        <v>0</v>
      </c>
      <c r="D6" s="16">
        <v>0</v>
      </c>
      <c r="E6" s="16">
        <v>0</v>
      </c>
      <c r="F6" s="16">
        <v>2</v>
      </c>
      <c r="G6" s="16">
        <v>3</v>
      </c>
      <c r="H6" s="16">
        <v>3</v>
      </c>
      <c r="I6" s="16">
        <v>0</v>
      </c>
      <c r="J6" s="16">
        <v>0</v>
      </c>
      <c r="K6" s="16">
        <v>0</v>
      </c>
      <c r="L6" s="16">
        <v>0</v>
      </c>
      <c r="M6" s="16">
        <v>0</v>
      </c>
      <c r="N6" s="5">
        <f>SUM(B6:M6)</f>
      </c>
    </row>
    <row r="7" spans="1:14" x14ac:dyDescent="0.25">
      <c r="A7" s="5" t="s">
        <v>128</v>
      </c>
      <c r="B7" s="16">
        <v>0</v>
      </c>
      <c r="C7" s="16">
        <v>0</v>
      </c>
      <c r="D7" s="16">
        <v>0</v>
      </c>
      <c r="E7" s="16">
        <v>1</v>
      </c>
      <c r="F7" s="16">
        <v>1</v>
      </c>
      <c r="G7" s="16">
        <v>2</v>
      </c>
      <c r="H7" s="16">
        <v>3</v>
      </c>
      <c r="I7" s="16">
        <v>4</v>
      </c>
      <c r="J7" s="16">
        <v>5</v>
      </c>
      <c r="K7" s="16">
        <v>5</v>
      </c>
      <c r="L7" s="16">
        <v>6</v>
      </c>
      <c r="M7" s="16">
        <v>7</v>
      </c>
      <c r="N7" s="5">
        <f>M7</f>
      </c>
    </row>
    <row r="8" spans="1:14" x14ac:dyDescent="0.25">
      <c r="A8" s="5" t="s">
        <v>129</v>
      </c>
      <c r="B8" s="16">
        <v>0</v>
      </c>
      <c r="C8" s="16">
        <v>0</v>
      </c>
      <c r="D8" s="16">
        <v>0</v>
      </c>
      <c r="E8" s="16">
        <v>0</v>
      </c>
      <c r="F8" s="16">
        <v>1</v>
      </c>
      <c r="G8" s="16">
        <v>1</v>
      </c>
      <c r="H8" s="16">
        <v>1</v>
      </c>
      <c r="I8" s="16">
        <v>1</v>
      </c>
      <c r="J8" s="16">
        <v>2</v>
      </c>
      <c r="K8" s="16">
        <v>2</v>
      </c>
      <c r="L8" s="16">
        <v>3</v>
      </c>
      <c r="M8" s="16">
        <v>3</v>
      </c>
      <c r="N8" s="5">
        <f>M8</f>
      </c>
    </row>
    <row r="10" spans="1:14" x14ac:dyDescent="0.25">
      <c r="A10" t="s">
        <v>130</v>
      </c>
      <c r="B10" s="17">
        <f>B5*Hypotheses!$B$5</f>
      </c>
      <c r="C10" s="17">
        <f>C5*Hypotheses!$B$5</f>
      </c>
      <c r="D10" s="17">
        <f>D5*Hypotheses!$B$5</f>
      </c>
      <c r="E10" s="17">
        <f>E5*Hypotheses!$B$5</f>
      </c>
      <c r="F10" s="17">
        <f>F5*Hypotheses!$B$5</f>
      </c>
      <c r="G10" s="17">
        <f>G5*Hypotheses!$B$5</f>
      </c>
      <c r="H10" s="17">
        <f>H5*Hypotheses!$B$5</f>
      </c>
      <c r="I10" s="17">
        <f>I5*Hypotheses!$B$5</f>
      </c>
      <c r="J10" s="17">
        <f>J5*Hypotheses!$B$5</f>
      </c>
      <c r="K10" s="17">
        <f>K5*Hypotheses!$B$5</f>
      </c>
      <c r="L10" s="17">
        <f>L5*Hypotheses!$B$5</f>
      </c>
      <c r="M10" s="17">
        <f>M5*Hypotheses!$B$5</f>
      </c>
      <c r="N10" s="18">
        <f>SUM(B10:M10)</f>
      </c>
    </row>
    <row r="11" spans="1:14" x14ac:dyDescent="0.25">
      <c r="A11" t="s">
        <v>131</v>
      </c>
      <c r="B11" s="17">
        <f>B6*Hypotheses!$B$6</f>
      </c>
      <c r="C11" s="17">
        <f>C6*Hypotheses!$B$6</f>
      </c>
      <c r="D11" s="17">
        <f>D6*Hypotheses!$B$6</f>
      </c>
      <c r="E11" s="17">
        <f>E6*Hypotheses!$B$6</f>
      </c>
      <c r="F11" s="17">
        <f>F6*Hypotheses!$B$6</f>
      </c>
      <c r="G11" s="17">
        <f>G6*Hypotheses!$B$6</f>
      </c>
      <c r="H11" s="17">
        <f>H6*Hypotheses!$B$6</f>
      </c>
      <c r="I11" s="17">
        <f>I6*Hypotheses!$B$6</f>
      </c>
      <c r="J11" s="17">
        <f>J6*Hypotheses!$B$6</f>
      </c>
      <c r="K11" s="17">
        <f>K6*Hypotheses!$B$6</f>
      </c>
      <c r="L11" s="17">
        <f>L6*Hypotheses!$B$6</f>
      </c>
      <c r="M11" s="17">
        <f>M6*Hypotheses!$B$6</f>
      </c>
      <c r="N11" s="18">
        <f>SUM(B11:M11)</f>
      </c>
    </row>
    <row r="12" spans="1:14" x14ac:dyDescent="0.25">
      <c r="A12" t="s">
        <v>132</v>
      </c>
      <c r="B12" s="17">
        <f>B7*Hypotheses!$B$7</f>
      </c>
      <c r="C12" s="17">
        <f>C7*Hypotheses!$B$7</f>
      </c>
      <c r="D12" s="17">
        <f>D7*Hypotheses!$B$7</f>
      </c>
      <c r="E12" s="17">
        <f>E7*Hypotheses!$B$7</f>
      </c>
      <c r="F12" s="17">
        <f>F7*Hypotheses!$B$7</f>
      </c>
      <c r="G12" s="17">
        <f>G7*Hypotheses!$B$7</f>
      </c>
      <c r="H12" s="17">
        <f>H7*Hypotheses!$B$7</f>
      </c>
      <c r="I12" s="17">
        <f>I7*Hypotheses!$B$7</f>
      </c>
      <c r="J12" s="17">
        <f>J7*Hypotheses!$B$7</f>
      </c>
      <c r="K12" s="17">
        <f>K7*Hypotheses!$B$7</f>
      </c>
      <c r="L12" s="17">
        <f>L7*Hypotheses!$B$7</f>
      </c>
      <c r="M12" s="17">
        <f>M7*Hypotheses!$B$7</f>
      </c>
      <c r="N12" s="18">
        <f>SUM(B12:M12)</f>
      </c>
    </row>
    <row r="13" spans="1:14" x14ac:dyDescent="0.25">
      <c r="A13" t="s">
        <v>133</v>
      </c>
      <c r="B13" s="17">
        <f>B8*Hypotheses!$B$8</f>
      </c>
      <c r="C13" s="17">
        <f>C8*Hypotheses!$B$8</f>
      </c>
      <c r="D13" s="17">
        <f>D8*Hypotheses!$B$8</f>
      </c>
      <c r="E13" s="17">
        <f>E8*Hypotheses!$B$8</f>
      </c>
      <c r="F13" s="17">
        <f>F8*Hypotheses!$B$8</f>
      </c>
      <c r="G13" s="17">
        <f>G8*Hypotheses!$B$8</f>
      </c>
      <c r="H13" s="17">
        <f>H8*Hypotheses!$B$8</f>
      </c>
      <c r="I13" s="17">
        <f>I8*Hypotheses!$B$8</f>
      </c>
      <c r="J13" s="17">
        <f>J8*Hypotheses!$B$8</f>
      </c>
      <c r="K13" s="17">
        <f>K8*Hypotheses!$B$8</f>
      </c>
      <c r="L13" s="17">
        <f>L8*Hypotheses!$B$8</f>
      </c>
      <c r="M13" s="17">
        <f>M8*Hypotheses!$B$8</f>
      </c>
      <c r="N13" s="18">
        <f>SUM(B13:M13)</f>
      </c>
    </row>
    <row r="14" spans="1:14" x14ac:dyDescent="0.25">
      <c r="A14" t="s">
        <v>134</v>
      </c>
      <c r="B14" s="17">
        <f>B8*Hypotheses!$B$9*Hypotheses!$B$10</f>
      </c>
      <c r="C14" s="17">
        <f>C8*Hypotheses!$B$9*Hypotheses!$B$10</f>
      </c>
      <c r="D14" s="17">
        <f>D8*Hypotheses!$B$9*Hypotheses!$B$10</f>
      </c>
      <c r="E14" s="17">
        <f>E8*Hypotheses!$B$9*Hypotheses!$B$10</f>
      </c>
      <c r="F14" s="17">
        <f>F8*Hypotheses!$B$9*Hypotheses!$B$10</f>
      </c>
      <c r="G14" s="17">
        <f>G8*Hypotheses!$B$9*Hypotheses!$B$10</f>
      </c>
      <c r="H14" s="17">
        <f>H8*Hypotheses!$B$9*Hypotheses!$B$10</f>
      </c>
      <c r="I14" s="17">
        <f>I8*Hypotheses!$B$9*Hypotheses!$B$10</f>
      </c>
      <c r="J14" s="17">
        <f>J8*Hypotheses!$B$9*Hypotheses!$B$10</f>
      </c>
      <c r="K14" s="17">
        <f>K8*Hypotheses!$B$9*Hypotheses!$B$10</f>
      </c>
      <c r="L14" s="17">
        <f>L8*Hypotheses!$B$9*Hypotheses!$B$10</f>
      </c>
      <c r="M14" s="17">
        <f>M8*Hypotheses!$B$9*Hypotheses!$B$10</f>
      </c>
      <c r="N14" s="18">
        <f>SUM(B14:M14)</f>
      </c>
    </row>
    <row r="15" spans="1:14" s="19" customFormat="1" x14ac:dyDescent="0.25">
      <c r="A15" s="20" t="s">
        <v>135</v>
      </c>
      <c r="B15" s="21">
        <f>SUM(B10:B14)</f>
      </c>
      <c r="C15" s="21">
        <f>SUM(C10:C14)</f>
      </c>
      <c r="D15" s="21">
        <f>SUM(D10:D14)</f>
      </c>
      <c r="E15" s="21">
        <f>SUM(E10:E14)</f>
      </c>
      <c r="F15" s="21">
        <f>SUM(F10:F14)</f>
      </c>
      <c r="G15" s="21">
        <f>SUM(G10:G14)</f>
      </c>
      <c r="H15" s="21">
        <f>SUM(H10:H14)</f>
      </c>
      <c r="I15" s="21">
        <f>SUM(I10:I14)</f>
      </c>
      <c r="J15" s="21">
        <f>SUM(J10:J14)</f>
      </c>
      <c r="K15" s="21">
        <f>SUM(K10:K14)</f>
      </c>
      <c r="L15" s="21">
        <f>SUM(L10:L14)</f>
      </c>
      <c r="M15" s="21">
        <f>SUM(M10:M14)</f>
      </c>
      <c r="N15" s="21">
        <f>SUM(B15:M15)</f>
      </c>
    </row>
    <row r="17" spans="1:14" x14ac:dyDescent="0.25">
      <c r="A17" t="s">
        <v>136</v>
      </c>
      <c r="B17" s="17">
        <f>SUM(Hypotheses!$B$37:$B$42)/12</f>
      </c>
      <c r="C17" s="17">
        <f>SUM(Hypotheses!$B$37:$B$42)/12</f>
      </c>
      <c r="D17" s="17">
        <f>SUM(Hypotheses!$B$37:$B$42)/12</f>
      </c>
      <c r="E17" s="17">
        <f>SUM(Hypotheses!$B$37:$B$42)/12</f>
      </c>
      <c r="F17" s="17">
        <f>SUM(Hypotheses!$B$37:$B$42)/12</f>
      </c>
      <c r="G17" s="17">
        <f>SUM(Hypotheses!$B$37:$B$42)/12</f>
      </c>
      <c r="H17" s="17">
        <f>SUM(Hypotheses!$B$37:$B$42)/12</f>
      </c>
      <c r="I17" s="17">
        <f>SUM(Hypotheses!$B$37:$B$42)/12</f>
      </c>
      <c r="J17" s="17">
        <f>SUM(Hypotheses!$B$37:$B$42)/12</f>
      </c>
      <c r="K17" s="17">
        <f>SUM(Hypotheses!$B$37:$B$42)/12</f>
      </c>
      <c r="L17" s="17">
        <f>SUM(Hypotheses!$B$37:$B$42)/12</f>
      </c>
      <c r="M17" s="17">
        <f>SUM(Hypotheses!$B$37:$B$42)/12</f>
      </c>
      <c r="N17" s="18">
        <f>SUM(B17:M17)</f>
      </c>
    </row>
    <row r="18" spans="1:14" x14ac:dyDescent="0.25">
      <c r="A18" t="s">
        <v>137</v>
      </c>
      <c r="B18" s="17">
        <f>B15*Hypotheses!$B$43*(1-Hypotheses!$B$44)</f>
      </c>
      <c r="C18" s="17">
        <f>C15*Hypotheses!$B$43*(1-Hypotheses!$B$44)</f>
      </c>
      <c r="D18" s="17">
        <f>D15*Hypotheses!$B$43*(1-Hypotheses!$B$44)</f>
      </c>
      <c r="E18" s="17">
        <f>E15*Hypotheses!$B$43*(1-Hypotheses!$B$44)</f>
      </c>
      <c r="F18" s="17">
        <f>F15*Hypotheses!$B$43*(1-Hypotheses!$B$44)</f>
      </c>
      <c r="G18" s="17">
        <f>G15*Hypotheses!$B$43*(1-Hypotheses!$B$44)</f>
      </c>
      <c r="H18" s="17">
        <f>H15*Hypotheses!$B$43*(1-Hypotheses!$B$44)</f>
      </c>
      <c r="I18" s="17">
        <f>I15*Hypotheses!$B$43*(1-Hypotheses!$B$44)</f>
      </c>
      <c r="J18" s="17">
        <f>J15*Hypotheses!$B$43*(1-Hypotheses!$B$44)</f>
      </c>
      <c r="K18" s="17">
        <f>K15*Hypotheses!$B$43*(1-Hypotheses!$B$44)</f>
      </c>
      <c r="L18" s="17">
        <f>L15*Hypotheses!$B$43*(1-Hypotheses!$B$44)</f>
      </c>
      <c r="M18" s="17">
        <f>M15*Hypotheses!$B$43*(1-Hypotheses!$B$44)</f>
      </c>
      <c r="N18" s="18">
        <f>SUM(B18:M18)</f>
      </c>
    </row>
    <row r="19" spans="1:14" x14ac:dyDescent="0.25">
      <c r="A19" t="s">
        <v>138</v>
      </c>
      <c r="B19" s="17">
        <f>B17+B18</f>
      </c>
      <c r="C19" s="17">
        <f>C17+C18</f>
      </c>
      <c r="D19" s="17">
        <f>D17+D18</f>
      </c>
      <c r="E19" s="17">
        <f>E17+E18</f>
      </c>
      <c r="F19" s="17">
        <f>F17+F18</f>
      </c>
      <c r="G19" s="17">
        <f>G17+G18</f>
      </c>
      <c r="H19" s="17">
        <f>H17+H18</f>
      </c>
      <c r="I19" s="17">
        <f>I17+I18</f>
      </c>
      <c r="J19" s="17">
        <f>J17+J18</f>
      </c>
      <c r="K19" s="17">
        <f>K17+K18</f>
      </c>
      <c r="L19" s="17">
        <f>L17+L18</f>
      </c>
      <c r="M19" s="17">
        <f>M17+M18</f>
      </c>
      <c r="N19" s="18">
        <f>SUM(B19:M19)</f>
      </c>
    </row>
    <row r="20" spans="1:14" x14ac:dyDescent="0.25">
      <c r="A20" s="5" t="s">
        <v>139</v>
      </c>
      <c r="B20" s="18">
        <f>B15-B19</f>
      </c>
      <c r="C20" s="18">
        <f>C15-C19</f>
      </c>
      <c r="D20" s="18">
        <f>D15-D19</f>
      </c>
      <c r="E20" s="18">
        <f>E15-E19</f>
      </c>
      <c r="F20" s="18">
        <f>F15-F19</f>
      </c>
      <c r="G20" s="18">
        <f>G15-G19</f>
      </c>
      <c r="H20" s="18">
        <f>H15-H19</f>
      </c>
      <c r="I20" s="18">
        <f>I15-I19</f>
      </c>
      <c r="J20" s="18">
        <f>J15-J19</f>
      </c>
      <c r="K20" s="18">
        <f>K15-K19</f>
      </c>
      <c r="L20" s="18">
        <f>L15-L19</f>
      </c>
      <c r="M20" s="18">
        <f>M15-M19</f>
      </c>
      <c r="N20" s="18">
        <f>SUM(B20:M20)</f>
      </c>
    </row>
    <row r="21" spans="1:14" x14ac:dyDescent="0.25">
      <c r="A21" s="5" t="s">
        <v>140</v>
      </c>
      <c r="B21" s="18">
        <f>B20</f>
      </c>
      <c r="C21" s="18">
        <f>B21+C20</f>
      </c>
      <c r="D21" s="18">
        <f>C21+D20</f>
      </c>
      <c r="E21" s="18">
        <f>D21+E20</f>
      </c>
      <c r="F21" s="18">
        <f>E21+F20</f>
      </c>
      <c r="G21" s="18">
        <f>F21+G20</f>
      </c>
      <c r="H21" s="18">
        <f>G21+H20</f>
      </c>
      <c r="I21" s="18">
        <f>H21+I20</f>
      </c>
      <c r="J21" s="18">
        <f>I21+J20</f>
      </c>
      <c r="K21" s="18">
        <f>J21+K20</f>
      </c>
      <c r="L21" s="18">
        <f>K21+L20</f>
      </c>
      <c r="M21" s="18">
        <f>L21+M20</f>
      </c>
      <c r="N21" s="18">
        <f>M21</f>
      </c>
    </row>
    <row r="23" spans="1:10" x14ac:dyDescent="0.25">
      <c r="A23" s="5" t="s">
        <v>141</v>
      </c>
      <c r="B23" s="22">
        <f>M12+M13+M14</f>
      </c>
      <c r="D23" s="10" t="s">
        <v>142</v>
      </c>
      <c r="E23" s="10"/>
      <c r="F23" s="10"/>
      <c r="G23" s="10"/>
      <c r="H23" s="10"/>
      <c r="I23" s="10"/>
      <c r="J23" s="10"/>
    </row>
    <row r="24" spans="1:10" x14ac:dyDescent="0.25">
      <c r="A24" t="s">
        <v>143</v>
      </c>
      <c r="B24" s="23">
        <f>(N10+N11)/N15</f>
      </c>
      <c r="D24" s="10" t="s">
        <v>144</v>
      </c>
      <c r="E24" s="10"/>
      <c r="F24" s="10"/>
      <c r="G24" s="10"/>
      <c r="H24" s="10"/>
      <c r="I24" s="10"/>
      <c r="J24" s="10"/>
    </row>
  </sheetData>
  <mergeCells count="4">
    <mergeCell ref="A1:N1"/>
    <mergeCell ref="A2:N2"/>
    <mergeCell ref="D23:J23"/>
    <mergeCell ref="D24:J2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FormatPr defaultRowHeight="15" outlineLevelRow="0" outlineLevelCol="0" x14ac:dyDescent="55"/>
  <cols>
    <col min="1" max="1" width="46" customWidth="1"/>
    <col min="2" max="4" width="16" customWidth="1"/>
  </cols>
  <sheetData>
    <row r="1" ht="22" customHeight="1" spans="1:4" x14ac:dyDescent="0.25">
      <c r="A1" s="1" t="s">
        <v>145</v>
      </c>
      <c r="B1" s="1"/>
      <c r="C1" s="1"/>
      <c r="D1" s="1"/>
    </row>
    <row r="2" spans="1:4" x14ac:dyDescent="0.25">
      <c r="A2" s="8" t="s">
        <v>146</v>
      </c>
      <c r="B2" s="8"/>
      <c r="C2" s="8"/>
      <c r="D2" s="8"/>
    </row>
    <row r="4" spans="1:4" s="15" customFormat="1" x14ac:dyDescent="0.25">
      <c r="A4" s="15" t="s">
        <v>147</v>
      </c>
      <c r="B4" s="15" t="s">
        <v>148</v>
      </c>
      <c r="C4" s="15" t="s">
        <v>149</v>
      </c>
      <c r="D4" s="15" t="s">
        <v>150</v>
      </c>
    </row>
    <row r="5" spans="1:4" x14ac:dyDescent="0.25">
      <c r="A5" t="s">
        <v>60</v>
      </c>
      <c r="B5" s="24">
        <f>Previsionnel_A1!N5</f>
      </c>
      <c r="C5" s="24">
        <f>Hypotheses!$B$17</f>
      </c>
      <c r="D5" s="24">
        <f>Hypotheses!$B$26</f>
      </c>
    </row>
    <row r="6" spans="1:4" x14ac:dyDescent="0.25">
      <c r="A6" t="s">
        <v>151</v>
      </c>
      <c r="B6" s="24">
        <f>Previsionnel_A1!M7</f>
      </c>
      <c r="C6" s="24">
        <f>Hypotheses!$B$20</f>
      </c>
      <c r="D6" s="24">
        <f>Hypotheses!$B$29</f>
      </c>
    </row>
    <row r="7" spans="1:4" x14ac:dyDescent="0.25">
      <c r="A7" t="s">
        <v>152</v>
      </c>
      <c r="B7" s="24">
        <f>Previsionnel_A1!M8</f>
      </c>
      <c r="C7" s="24">
        <f>Hypotheses!$B$22</f>
      </c>
      <c r="D7" s="24">
        <f>Hypotheses!$B$31</f>
      </c>
    </row>
    <row r="9" spans="1:4" x14ac:dyDescent="0.25">
      <c r="A9" t="s">
        <v>153</v>
      </c>
      <c r="B9" s="17">
        <f>Previsionnel_A1!N10</f>
      </c>
      <c r="C9" s="17">
        <f>Hypotheses!$B$17*Hypotheses!$B$5*Hypotheses!$B$13</f>
      </c>
      <c r="D9" s="17">
        <f>Hypotheses!$B$26*Hypotheses!$B$5*Hypotheses!$B$14</f>
      </c>
    </row>
    <row r="10" spans="1:4" x14ac:dyDescent="0.25">
      <c r="A10" t="s">
        <v>154</v>
      </c>
      <c r="B10" s="17">
        <f>Previsionnel_A1!N11</f>
      </c>
      <c r="C10" s="17">
        <f>Hypotheses!$B$18*Hypotheses!$B$6*Hypotheses!$B$13</f>
      </c>
      <c r="D10" s="17">
        <f>Hypotheses!$B$27*Hypotheses!$B$6*Hypotheses!$B$14</f>
      </c>
    </row>
    <row r="11" spans="1:4" x14ac:dyDescent="0.25">
      <c r="A11" t="s">
        <v>155</v>
      </c>
      <c r="B11" s="17">
        <f>Previsionnel_A1!N12</f>
      </c>
      <c r="C11" s="17">
        <f>Hypotheses!$B$19*Hypotheses!$B$7*Hypotheses!$B$13*12</f>
      </c>
      <c r="D11" s="17">
        <f>Hypotheses!$B$28*Hypotheses!$B$7*Hypotheses!$B$14*12</f>
      </c>
    </row>
    <row r="12" spans="1:4" x14ac:dyDescent="0.25">
      <c r="A12" t="s">
        <v>156</v>
      </c>
      <c r="B12" s="17">
        <f>Previsionnel_A1!N13</f>
      </c>
      <c r="C12" s="17">
        <f>Hypotheses!$B$21*Hypotheses!$B$8*Hypotheses!$B$13*12</f>
      </c>
      <c r="D12" s="17">
        <f>Hypotheses!$B$30*Hypotheses!$B$8*Hypotheses!$B$14*12</f>
      </c>
    </row>
    <row r="13" spans="1:4" x14ac:dyDescent="0.25">
      <c r="A13" t="s">
        <v>157</v>
      </c>
      <c r="B13" s="17">
        <f>Previsionnel_A1!N14</f>
      </c>
      <c r="C13" s="17">
        <f>Hypotheses!$B$21*Hypotheses!$B$23*Hypotheses!$B$10*12</f>
      </c>
      <c r="D13" s="17">
        <f>Hypotheses!$B$30*Hypotheses!$B$32*Hypotheses!$B$10*12</f>
      </c>
    </row>
    <row r="14" spans="1:4" x14ac:dyDescent="0.25">
      <c r="A14" t="s">
        <v>158</v>
      </c>
      <c r="B14" s="17">
        <f>0</f>
      </c>
      <c r="C14" s="17">
        <f>0</f>
      </c>
      <c r="D14" s="17">
        <f>Hypotheses!$B$33*Hypotheses!$B$34*12</f>
      </c>
    </row>
    <row r="15" spans="1:4" s="19" customFormat="1" x14ac:dyDescent="0.25">
      <c r="A15" s="20" t="s">
        <v>159</v>
      </c>
      <c r="B15" s="21">
        <f>SUM(B9:B14)</f>
      </c>
      <c r="C15" s="21">
        <f>SUM(C9:C14)</f>
      </c>
      <c r="D15" s="21">
        <f>SUM(D9:D14)</f>
      </c>
    </row>
    <row r="17" spans="1:4" x14ac:dyDescent="0.25">
      <c r="A17" s="4" t="s">
        <v>160</v>
      </c>
      <c r="B17" s="4"/>
      <c r="C17" s="4"/>
      <c r="D17" s="4"/>
    </row>
    <row r="18" spans="1:4" x14ac:dyDescent="0.25">
      <c r="A18" t="s">
        <v>161</v>
      </c>
      <c r="B18" s="17">
        <f>0</f>
      </c>
      <c r="C18" s="17">
        <f>Hypotheses!$B$47</f>
      </c>
      <c r="D18" s="17">
        <f>Hypotheses!$B$55</f>
      </c>
    </row>
    <row r="19" spans="1:4" x14ac:dyDescent="0.25">
      <c r="A19" t="s">
        <v>162</v>
      </c>
      <c r="B19" s="17">
        <f>Hypotheses!$B$40</f>
      </c>
      <c r="C19" s="17">
        <f>Hypotheses!$B$48</f>
      </c>
      <c r="D19" s="17">
        <f>Hypotheses!$B$56</f>
      </c>
    </row>
    <row r="20" spans="1:4" x14ac:dyDescent="0.25">
      <c r="A20" t="s">
        <v>163</v>
      </c>
      <c r="B20" s="17">
        <f>Hypotheses!$B$37+Hypotheses!$B$41</f>
      </c>
      <c r="C20" s="17">
        <f>Hypotheses!$B$49</f>
      </c>
      <c r="D20" s="17">
        <f>Hypotheses!$B$57</f>
      </c>
    </row>
    <row r="21" spans="1:4" x14ac:dyDescent="0.25">
      <c r="A21" t="s">
        <v>164</v>
      </c>
      <c r="B21" s="17">
        <f>Hypotheses!$B$38+Hypotheses!$B$39</f>
      </c>
      <c r="C21" s="17">
        <f>Hypotheses!$B$50</f>
      </c>
      <c r="D21" s="17">
        <f>Hypotheses!$B$58</f>
      </c>
    </row>
    <row r="22" spans="1:4" x14ac:dyDescent="0.25">
      <c r="A22" t="s">
        <v>165</v>
      </c>
      <c r="B22" s="17">
        <f>0</f>
      </c>
      <c r="C22" s="17">
        <f>Hypotheses!$B$51</f>
      </c>
      <c r="D22" s="17">
        <f>Hypotheses!$B$59</f>
      </c>
    </row>
    <row r="23" spans="1:4" x14ac:dyDescent="0.25">
      <c r="A23" t="s">
        <v>166</v>
      </c>
      <c r="B23" s="17">
        <f>Hypotheses!$B$42</f>
      </c>
      <c r="C23" s="17">
        <f>Hypotheses!$B$52</f>
      </c>
      <c r="D23" s="17">
        <f>Hypotheses!$B$60</f>
      </c>
    </row>
    <row r="24" spans="1:4" x14ac:dyDescent="0.25">
      <c r="A24" t="s">
        <v>167</v>
      </c>
      <c r="B24" s="17">
        <f>Previsionnel_A1!N18</f>
      </c>
      <c r="C24" s="17">
        <f>0</f>
      </c>
      <c r="D24" s="17">
        <f>0</f>
      </c>
    </row>
    <row r="25" spans="1:4" x14ac:dyDescent="0.25">
      <c r="A25" s="5" t="s">
        <v>168</v>
      </c>
      <c r="B25" s="18">
        <f>SUM(B18:B24)</f>
      </c>
      <c r="C25" s="18">
        <f>SUM(C18:C24)</f>
      </c>
      <c r="D25" s="18">
        <f>SUM(D18:D24)</f>
      </c>
    </row>
    <row r="27" spans="1:4" s="19" customFormat="1" x14ac:dyDescent="0.25">
      <c r="A27" s="25" t="s">
        <v>169</v>
      </c>
      <c r="B27" s="22">
        <f>B15-B25</f>
      </c>
      <c r="C27" s="22">
        <f>C15-C25</f>
      </c>
      <c r="D27" s="22">
        <f>D15-D25</f>
      </c>
    </row>
    <row r="28" spans="1:4" x14ac:dyDescent="0.25">
      <c r="A28" t="s">
        <v>170</v>
      </c>
      <c r="B28" s="26">
        <f>IF(B15=0,0,B27/B15)</f>
      </c>
      <c r="C28" s="26">
        <f>IF(C15=0,0,C27/C15)</f>
      </c>
      <c r="D28" s="26">
        <f>IF(D15=0,0,D27/D15)</f>
      </c>
    </row>
    <row r="30" ht="30" customHeight="1" spans="1:4" x14ac:dyDescent="0.25">
      <c r="A30" s="7" t="s">
        <v>171</v>
      </c>
      <c r="B30" s="7"/>
      <c r="C30" s="7"/>
      <c r="D30" s="7"/>
    </row>
  </sheetData>
  <mergeCells count="4">
    <mergeCell ref="A1:D1"/>
    <mergeCell ref="A2:D2"/>
    <mergeCell ref="A17:D17"/>
    <mergeCell ref="A30:D30"/>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FormatPr defaultRowHeight="15" outlineLevelRow="0" outlineLevelCol="0" x14ac:dyDescent="55"/>
  <cols>
    <col min="1" max="1" width="46" customWidth="1"/>
    <col min="2" max="4" width="16" customWidth="1"/>
  </cols>
  <sheetData>
    <row r="1" ht="22" customHeight="1" spans="1:4" x14ac:dyDescent="0.25">
      <c r="A1" s="1" t="s">
        <v>172</v>
      </c>
      <c r="B1" s="1"/>
      <c r="C1" s="1"/>
      <c r="D1" s="1"/>
    </row>
    <row r="2" spans="1:4" x14ac:dyDescent="0.25">
      <c r="A2" s="8" t="s">
        <v>173</v>
      </c>
      <c r="B2" s="8"/>
      <c r="C2" s="8"/>
      <c r="D2" s="8"/>
    </row>
    <row r="4" spans="1:4" s="15" customFormat="1" x14ac:dyDescent="0.25">
      <c r="A4" s="15" t="s">
        <v>174</v>
      </c>
      <c r="B4" s="15" t="s">
        <v>104</v>
      </c>
      <c r="C4" s="15" t="s">
        <v>106</v>
      </c>
      <c r="D4" s="15" t="s">
        <v>108</v>
      </c>
    </row>
    <row r="5" spans="1:4" x14ac:dyDescent="0.25">
      <c r="A5" t="s">
        <v>175</v>
      </c>
      <c r="B5" s="27">
        <f>Hypotheses!$B$67</f>
      </c>
      <c r="C5" s="27">
        <f>Hypotheses!$B$68</f>
      </c>
      <c r="D5" s="27">
        <f>Hypotheses!$B$69</f>
      </c>
    </row>
    <row r="6" spans="1:4" x14ac:dyDescent="0.25">
      <c r="A6" t="s">
        <v>176</v>
      </c>
      <c r="B6" s="24">
        <f>Previsionnel_A1!$N$5*B5</f>
      </c>
      <c r="C6" s="24">
        <f>Previsionnel_A1!$N$5*C5</f>
      </c>
      <c r="D6" s="24">
        <f>Previsionnel_A1!$N$5*D5</f>
      </c>
    </row>
    <row r="7" spans="1:4" x14ac:dyDescent="0.25">
      <c r="A7" t="s">
        <v>177</v>
      </c>
      <c r="B7" s="24">
        <f>Previsionnel_A1!$M$7*B5</f>
      </c>
      <c r="C7" s="24">
        <f>Previsionnel_A1!$M$7*C5</f>
      </c>
      <c r="D7" s="24">
        <f>Previsionnel_A1!$M$7*D5</f>
      </c>
    </row>
    <row r="8" spans="1:4" x14ac:dyDescent="0.25">
      <c r="A8" t="s">
        <v>178</v>
      </c>
      <c r="B8" s="24">
        <f>Previsionnel_A1!$M$8*B5</f>
      </c>
      <c r="C8" s="24">
        <f>Previsionnel_A1!$M$8*C5</f>
      </c>
      <c r="D8" s="24">
        <f>Previsionnel_A1!$M$8*D5</f>
      </c>
    </row>
    <row r="9" spans="1:4" x14ac:dyDescent="0.25">
      <c r="A9" t="s">
        <v>179</v>
      </c>
      <c r="B9" s="17">
        <f>PL_3ans!$B$15*B5</f>
      </c>
      <c r="C9" s="17">
        <f>PL_3ans!$B$15*C5</f>
      </c>
      <c r="D9" s="17">
        <f>PL_3ans!$B$15*D5</f>
      </c>
    </row>
    <row r="10" spans="1:4" x14ac:dyDescent="0.25">
      <c r="A10" t="s">
        <v>180</v>
      </c>
      <c r="B10" s="17">
        <f>PL_3ans!$D$15*B5</f>
      </c>
      <c r="C10" s="17">
        <f>PL_3ans!$D$15*C5</f>
      </c>
      <c r="D10" s="17">
        <f>PL_3ans!$D$15*D5</f>
      </c>
    </row>
    <row r="12" spans="1:4" x14ac:dyDescent="0.25">
      <c r="A12" s="7" t="s">
        <v>181</v>
      </c>
      <c r="B12" s="7"/>
      <c r="C12" s="7"/>
      <c r="D12" s="7"/>
    </row>
    <row r="14" spans="1:4" x14ac:dyDescent="0.25">
      <c r="A14" s="5" t="s">
        <v>182</v>
      </c>
      <c r="B14" s="5"/>
      <c r="C14" s="5"/>
      <c r="D14" s="5"/>
    </row>
    <row r="15" spans="1:4" x14ac:dyDescent="0.25">
      <c r="A15" s="5" t="s">
        <v>104</v>
      </c>
      <c r="B15" s="6" t="s">
        <v>183</v>
      </c>
      <c r="C15" s="6"/>
      <c r="D15" s="6"/>
    </row>
    <row r="16" spans="1:4" x14ac:dyDescent="0.25">
      <c r="A16" s="5" t="s">
        <v>106</v>
      </c>
      <c r="B16" s="6" t="s">
        <v>184</v>
      </c>
      <c r="C16" s="6"/>
      <c r="D16" s="6"/>
    </row>
    <row r="17" spans="1:4" x14ac:dyDescent="0.25">
      <c r="A17" s="5" t="s">
        <v>108</v>
      </c>
      <c r="B17" s="6" t="s">
        <v>185</v>
      </c>
      <c r="C17" s="6"/>
      <c r="D17" s="6"/>
    </row>
  </sheetData>
  <mergeCells count="7">
    <mergeCell ref="A1:D1"/>
    <mergeCell ref="A2:D2"/>
    <mergeCell ref="A12:D12"/>
    <mergeCell ref="A14:D14"/>
    <mergeCell ref="B15:D15"/>
    <mergeCell ref="B16:D16"/>
    <mergeCell ref="B17:D17"/>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FormatPr defaultRowHeight="15" outlineLevelRow="0" outlineLevelCol="0" x14ac:dyDescent="55"/>
  <cols>
    <col min="1" max="1" width="52" customWidth="1"/>
    <col min="2" max="2" width="16" customWidth="1"/>
    <col min="3" max="3" width="44" customWidth="1"/>
  </cols>
  <sheetData>
    <row r="1" ht="22" customHeight="1" spans="1:3" x14ac:dyDescent="0.25">
      <c r="A1" s="1" t="s">
        <v>186</v>
      </c>
      <c r="B1" s="1"/>
      <c r="C1" s="1"/>
    </row>
    <row r="3" spans="1:3" x14ac:dyDescent="0.25">
      <c r="A3" s="4" t="s">
        <v>187</v>
      </c>
      <c r="B3" s="4"/>
      <c r="C3" s="4"/>
    </row>
    <row r="4" spans="1:3" s="15" customFormat="1" x14ac:dyDescent="0.25">
      <c r="A4" s="15" t="s">
        <v>188</v>
      </c>
      <c r="B4" s="15" t="s">
        <v>189</v>
      </c>
      <c r="C4" s="15" t="s">
        <v>190</v>
      </c>
    </row>
    <row r="5" spans="1:3" x14ac:dyDescent="0.25">
      <c r="A5" t="s">
        <v>191</v>
      </c>
      <c r="B5" s="17">
        <f>Hypotheses!$B$5</f>
      </c>
      <c r="C5" t="s">
        <v>192</v>
      </c>
    </row>
    <row r="6" spans="1:3" x14ac:dyDescent="0.25">
      <c r="A6" t="s">
        <v>193</v>
      </c>
      <c r="B6" s="17">
        <f>Hypotheses!$B$5+Hypotheses!$B$7*12</f>
      </c>
      <c r="C6" t="s">
        <v>194</v>
      </c>
    </row>
    <row r="7" spans="1:3" x14ac:dyDescent="0.25">
      <c r="A7" t="s">
        <v>195</v>
      </c>
      <c r="B7" s="17">
        <f>Hypotheses!$B$8*12+Hypotheses!$B$9*Hypotheses!$B$10*12</f>
      </c>
      <c r="C7" t="s">
        <v>196</v>
      </c>
    </row>
    <row r="9" spans="1:3" x14ac:dyDescent="0.25">
      <c r="A9" s="4" t="s">
        <v>197</v>
      </c>
      <c r="B9" s="4"/>
      <c r="C9" s="4"/>
    </row>
    <row r="10" spans="1:2" x14ac:dyDescent="0.25">
      <c r="A10" t="s">
        <v>198</v>
      </c>
      <c r="B10" s="28">
        <v>1</v>
      </c>
    </row>
    <row r="11" spans="1:2" x14ac:dyDescent="0.25">
      <c r="A11" t="s">
        <v>199</v>
      </c>
      <c r="B11" s="28">
        <v>17</v>
      </c>
    </row>
    <row r="12" spans="1:2" x14ac:dyDescent="0.25">
      <c r="A12" t="s">
        <v>200</v>
      </c>
      <c r="B12" s="29">
        <v>0.5</v>
      </c>
    </row>
    <row r="13" spans="1:3" x14ac:dyDescent="0.25">
      <c r="A13" s="5" t="s">
        <v>201</v>
      </c>
      <c r="B13" s="25">
        <f>FLOOR(B11*B12/B10,1)</f>
      </c>
      <c r="C13" s="30" t="s">
        <v>202</v>
      </c>
    </row>
    <row r="15" spans="1:3" x14ac:dyDescent="0.25">
      <c r="A15" s="4" t="s">
        <v>203</v>
      </c>
      <c r="B15" s="4"/>
      <c r="C15" s="4"/>
    </row>
    <row r="16" spans="1:2" x14ac:dyDescent="0.25">
      <c r="A16" t="s">
        <v>204</v>
      </c>
      <c r="B16" s="17">
        <f>Hypotheses!$B$63</f>
      </c>
    </row>
    <row r="17" spans="1:2" x14ac:dyDescent="0.25">
      <c r="A17" t="s">
        <v>205</v>
      </c>
      <c r="B17" s="17">
        <f>Hypotheses!$B$63/(1-Hypotheses!$B$43)</f>
      </c>
    </row>
    <row r="18" spans="1:2" x14ac:dyDescent="0.25">
      <c r="A18" t="s">
        <v>206</v>
      </c>
      <c r="B18" s="17">
        <f>SUM(Hypotheses!$B$37:$B$42)/12</f>
      </c>
    </row>
    <row r="19" spans="1:2" x14ac:dyDescent="0.25">
      <c r="A19" s="5" t="s">
        <v>207</v>
      </c>
      <c r="B19" s="18">
        <f>B17+B18</f>
      </c>
    </row>
    <row r="21" spans="1:3" x14ac:dyDescent="0.25">
      <c r="A21" s="4" t="s">
        <v>208</v>
      </c>
      <c r="B21" s="4"/>
      <c r="C21" s="4"/>
    </row>
    <row r="22" spans="1:2" x14ac:dyDescent="0.25">
      <c r="A22" s="5" t="s">
        <v>209</v>
      </c>
      <c r="B22" s="22">
        <f>B19*Hypotheses!$B$64</f>
      </c>
    </row>
    <row r="23" spans="1:2" x14ac:dyDescent="0.25">
      <c r="A23" t="s">
        <v>210</v>
      </c>
      <c r="B23" s="17">
        <f>Previsionnel_A1!B23</f>
      </c>
    </row>
    <row r="24" spans="1:2" x14ac:dyDescent="0.25">
      <c r="A24" t="s">
        <v>211</v>
      </c>
      <c r="B24">
        <f>CEILING(B22/Hypotheses!$B$7,1)</f>
      </c>
    </row>
    <row r="25" spans="1:2" x14ac:dyDescent="0.25">
      <c r="A25" t="s">
        <v>212</v>
      </c>
      <c r="B25">
        <f>CEILING((B22-3*(Hypotheses!$B$8+Hypotheses!$B$9*Hypotheses!$B$10))/Hypotheses!$B$7,1)</f>
      </c>
    </row>
    <row r="27" ht="48" customHeight="1" spans="1:3" x14ac:dyDescent="0.25">
      <c r="A27" s="7" t="s">
        <v>213</v>
      </c>
      <c r="B27" s="7"/>
      <c r="C27" s="7"/>
    </row>
  </sheetData>
  <mergeCells count="6">
    <mergeCell ref="A1:C1"/>
    <mergeCell ref="A3:C3"/>
    <mergeCell ref="A9:C9"/>
    <mergeCell ref="A15:C15"/>
    <mergeCell ref="A21:C21"/>
    <mergeCell ref="A27:C27"/>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FormatPr defaultRowHeight="15" outlineLevelRow="0" outlineLevelCol="0" x14ac:dyDescent="55"/>
  <cols>
    <col min="1" max="1" width="44" customWidth="1"/>
    <col min="2" max="5" width="14" customWidth="1"/>
    <col min="6" max="6" width="40" customWidth="1"/>
  </cols>
  <sheetData>
    <row r="1" ht="22" customHeight="1" spans="1:6" x14ac:dyDescent="0.25">
      <c r="A1" s="1" t="s">
        <v>214</v>
      </c>
      <c r="B1" s="1"/>
      <c r="C1" s="1"/>
      <c r="D1" s="1"/>
      <c r="E1" s="1"/>
      <c r="F1" s="1"/>
    </row>
    <row r="2" spans="1:6" x14ac:dyDescent="0.25">
      <c r="A2" s="8" t="s">
        <v>215</v>
      </c>
      <c r="B2" s="8"/>
      <c r="C2" s="8"/>
      <c r="D2" s="8"/>
      <c r="E2" s="8"/>
      <c r="F2" s="8"/>
    </row>
    <row r="4" spans="1:6" x14ac:dyDescent="0.25">
      <c r="A4" s="4" t="s">
        <v>216</v>
      </c>
      <c r="B4" s="4"/>
      <c r="C4" s="4"/>
      <c r="D4" s="4"/>
      <c r="E4" s="4"/>
      <c r="F4" s="4"/>
    </row>
    <row r="5" spans="1:2" x14ac:dyDescent="0.25">
      <c r="A5" t="s">
        <v>217</v>
      </c>
      <c r="B5" s="13">
        <v>300</v>
      </c>
    </row>
    <row r="6" spans="1:2" x14ac:dyDescent="0.25">
      <c r="A6" t="s">
        <v>218</v>
      </c>
      <c r="B6" s="13">
        <v>20</v>
      </c>
    </row>
    <row r="7" spans="1:2" x14ac:dyDescent="0.25">
      <c r="A7" t="s">
        <v>219</v>
      </c>
      <c r="B7" s="31">
        <v>2.5</v>
      </c>
    </row>
    <row r="8" spans="1:2" x14ac:dyDescent="0.25">
      <c r="A8" s="5" t="s">
        <v>220</v>
      </c>
      <c r="B8" s="21">
        <f>B5*B6*B7*12</f>
      </c>
    </row>
    <row r="9" spans="1:3" x14ac:dyDescent="0.25">
      <c r="A9" t="s">
        <v>221</v>
      </c>
      <c r="B9" s="11">
        <v>0.18</v>
      </c>
      <c r="C9" s="10" t="s">
        <v>222</v>
      </c>
    </row>
    <row r="10" spans="1:2" x14ac:dyDescent="0.25">
      <c r="A10" t="s">
        <v>223</v>
      </c>
      <c r="B10" s="11">
        <v>0.07</v>
      </c>
    </row>
    <row r="12" spans="1:6" x14ac:dyDescent="0.25">
      <c r="A12" s="4" t="s">
        <v>224</v>
      </c>
      <c r="B12" s="4"/>
      <c r="C12" s="4"/>
      <c r="D12" s="4"/>
      <c r="E12" s="4"/>
      <c r="F12" s="4"/>
    </row>
    <row r="13" spans="1:6" s="15" customFormat="1" x14ac:dyDescent="0.25">
      <c r="A13" s="15" t="s">
        <v>225</v>
      </c>
      <c r="B13" s="15" t="s">
        <v>226</v>
      </c>
      <c r="C13" s="15" t="s">
        <v>227</v>
      </c>
      <c r="D13" s="15" t="s">
        <v>228</v>
      </c>
      <c r="E13" s="15" t="s">
        <v>229</v>
      </c>
      <c r="F13" s="15" t="s">
        <v>230</v>
      </c>
    </row>
    <row r="14" spans="1:7" x14ac:dyDescent="0.25">
      <c r="A14" t="s">
        <v>231</v>
      </c>
      <c r="B14" s="29">
        <v>0.11</v>
      </c>
      <c r="C14" s="29">
        <v>1</v>
      </c>
      <c r="D14" s="17">
        <f>B8*B14*C14</f>
      </c>
      <c r="E14" s="26">
        <f>B14*C14</f>
      </c>
      <c r="F14" s="26">
        <f>B14*C14</f>
      </c>
      <c r="G14" s="10" t="s">
        <v>232</v>
      </c>
    </row>
    <row r="15" spans="1:7" x14ac:dyDescent="0.25">
      <c r="A15" t="s">
        <v>233</v>
      </c>
      <c r="B15" s="29">
        <v>0.1</v>
      </c>
      <c r="C15" s="29">
        <v>1</v>
      </c>
      <c r="D15" s="17">
        <f>B8*B15*C15</f>
      </c>
      <c r="E15" s="26">
        <f>B15*C15</f>
      </c>
      <c r="F15" s="26">
        <f>B15*C15</f>
      </c>
      <c r="G15" s="10" t="s">
        <v>234</v>
      </c>
    </row>
    <row r="16" spans="1:7" x14ac:dyDescent="0.25">
      <c r="A16" t="s">
        <v>235</v>
      </c>
      <c r="B16" s="29">
        <v>0.02</v>
      </c>
      <c r="C16" s="29">
        <v>1</v>
      </c>
      <c r="D16" s="17">
        <f>B8*B16*C16</f>
      </c>
      <c r="E16" s="26">
        <f>B16*C16</f>
      </c>
      <c r="F16" s="26">
        <f>B16*C16</f>
      </c>
      <c r="G16" s="10" t="s">
        <v>236</v>
      </c>
    </row>
    <row r="17" spans="1:7" x14ac:dyDescent="0.25">
      <c r="A17" t="s">
        <v>237</v>
      </c>
      <c r="B17" s="29">
        <v>0.14</v>
      </c>
      <c r="C17" s="29">
        <v>0</v>
      </c>
      <c r="D17" s="17">
        <f>B8*B17*C17</f>
      </c>
      <c r="E17" s="26">
        <f>B17*C17</f>
      </c>
      <c r="F17" s="26">
        <f>B17*C17</f>
      </c>
      <c r="G17" s="10" t="s">
        <v>238</v>
      </c>
    </row>
    <row r="18" spans="1:7" x14ac:dyDescent="0.25">
      <c r="A18" t="s">
        <v>239</v>
      </c>
      <c r="B18" s="29">
        <v>0.28</v>
      </c>
      <c r="C18" s="29">
        <v>0</v>
      </c>
      <c r="D18" s="17">
        <f>B8*B18*C18</f>
      </c>
      <c r="E18" s="26">
        <f>B18*C18</f>
      </c>
      <c r="F18" s="26">
        <v>0</v>
      </c>
      <c r="G18" s="10" t="s">
        <v>240</v>
      </c>
    </row>
    <row r="19" spans="1:7" x14ac:dyDescent="0.25">
      <c r="A19" t="s">
        <v>241</v>
      </c>
      <c r="B19" s="29">
        <v>0.05</v>
      </c>
      <c r="C19" s="29">
        <v>0</v>
      </c>
      <c r="D19" s="17">
        <f>B8*B19*C19</f>
      </c>
      <c r="E19" s="26">
        <f>B19*C19</f>
      </c>
      <c r="F19" s="26">
        <f>B19*C19</f>
      </c>
      <c r="G19" s="10" t="s">
        <v>242</v>
      </c>
    </row>
    <row r="20" spans="1:6" x14ac:dyDescent="0.25">
      <c r="A20" s="5" t="s">
        <v>243</v>
      </c>
      <c r="D20" s="18">
        <f>SUM(D14:D19)</f>
      </c>
      <c r="E20" s="23">
        <f>SUM(E14:E19)</f>
      </c>
      <c r="F20" s="23">
        <f>SUM(F14:F19)</f>
      </c>
    </row>
    <row r="22" spans="1:6" x14ac:dyDescent="0.25">
      <c r="A22" s="4" t="s">
        <v>244</v>
      </c>
      <c r="B22" s="4"/>
      <c r="C22" s="4"/>
      <c r="D22" s="4"/>
      <c r="E22" s="4"/>
      <c r="F22" s="4"/>
    </row>
    <row r="23" spans="1:5" x14ac:dyDescent="0.25">
      <c r="A23" s="5" t="s">
        <v>245</v>
      </c>
      <c r="B23" s="32">
        <f>B9+E20</f>
      </c>
      <c r="C23" s="5">
        <f>IF(B23&gt;=0.5,"SEUIL 50 % ATTEINT","il manque "&amp;TEXT(0.5-B23,"0.0%"))</f>
      </c>
      <c r="D23" s="5"/>
      <c r="E23" s="5"/>
    </row>
    <row r="24" spans="1:5" x14ac:dyDescent="0.25">
      <c r="A24" s="5" t="s">
        <v>246</v>
      </c>
      <c r="B24" s="32">
        <f>B10+F20</f>
      </c>
      <c r="C24" s="5">
        <f>IF(B24&gt;=0.2,"SEUIL 20 % ATTEINT","il manque "&amp;TEXT(0.2-B24,"0.0%"))</f>
      </c>
      <c r="D24" s="5"/>
      <c r="E24" s="5"/>
    </row>
    <row r="26" ht="52" customHeight="1" spans="1:6" x14ac:dyDescent="0.25">
      <c r="A26" s="33" t="s">
        <v>247</v>
      </c>
      <c r="B26" s="33"/>
      <c r="C26" s="33"/>
      <c r="D26" s="33"/>
      <c r="E26" s="33"/>
      <c r="F26" s="33"/>
    </row>
    <row r="28" ht="36" customHeight="1" spans="1:6" x14ac:dyDescent="0.25">
      <c r="A28" s="34" t="s">
        <v>248</v>
      </c>
      <c r="B28" s="34"/>
      <c r="C28" s="34"/>
      <c r="D28" s="34"/>
      <c r="E28" s="34"/>
      <c r="F28" s="34"/>
    </row>
  </sheetData>
  <mergeCells count="9">
    <mergeCell ref="A1:F1"/>
    <mergeCell ref="A2:F2"/>
    <mergeCell ref="A4:F4"/>
    <mergeCell ref="A12:F12"/>
    <mergeCell ref="A22:F22"/>
    <mergeCell ref="C23:E23"/>
    <mergeCell ref="C24:E24"/>
    <mergeCell ref="A26:F26"/>
    <mergeCell ref="A28:F2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Lisez-moi</vt:lpstr>
      <vt:lpstr>Hypotheses</vt:lpstr>
      <vt:lpstr>Previsionnel_A1</vt:lpstr>
      <vt:lpstr>PL_3ans</vt:lpstr>
      <vt:lpstr>Scenarios</vt:lpstr>
      <vt:lpstr>Unit_economics</vt:lpstr>
      <vt:lpstr>Simulateur_ratio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Mycelium</dc:creator>
  <dc:title/>
  <dc:subject/>
  <dc:description/>
  <cp:keywords/>
  <cp:category/>
  <cp:lastModifiedBy>Unknown</cp:lastModifiedBy>
  <dcterms:created xsi:type="dcterms:W3CDTF">2026-08-14T22:37:16Z</dcterms:created>
  <dcterms:modified xsi:type="dcterms:W3CDTF">2026-08-14T22:37:16Z</dcterms:modified>
</cp:coreProperties>
</file>